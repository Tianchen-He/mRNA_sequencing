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385976/Downloads/UAlbany/Oct_2025/mRNA_Git/mRNA_sequencing/Result/HTC/Cap2/"/>
    </mc:Choice>
  </mc:AlternateContent>
  <xr:revisionPtr revIDLastSave="0" documentId="13_ncr:1_{FBF7BB51-9C6B-9041-8137-3C597BA7D3AF}" xr6:coauthVersionLast="47" xr6:coauthVersionMax="47" xr10:uidLastSave="{00000000-0000-0000-0000-000000000000}"/>
  <bookViews>
    <workbookView xWindow="36100" yWindow="1340" windowWidth="27640" windowHeight="16940" xr2:uid="{8958017B-043B-8E45-A2EA-9FA569BF5485}"/>
  </bookViews>
  <sheets>
    <sheet name="cap-aaA" sheetId="1" r:id="rId1"/>
    <sheet name="cap-ccC" sheetId="2" r:id="rId2"/>
    <sheet name="cap-ggG" sheetId="3" r:id="rId3"/>
    <sheet name="cap-uuU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4" l="1"/>
  <c r="F14" i="3"/>
  <c r="F20" i="2"/>
  <c r="F11" i="1"/>
</calcChain>
</file>

<file path=xl/sharedStrings.xml><?xml version="1.0" encoding="utf-8"?>
<sst xmlns="http://schemas.openxmlformats.org/spreadsheetml/2006/main" count="426" uniqueCount="22">
  <si>
    <t>base_name</t>
  </si>
  <si>
    <t>theoretical_mass</t>
  </si>
  <si>
    <t>n_position</t>
  </si>
  <si>
    <t>monoisotopic_mass</t>
  </si>
  <si>
    <t>sum_intensity</t>
  </si>
  <si>
    <t>apex_rt</t>
  </si>
  <si>
    <t>relative_abundance</t>
  </si>
  <si>
    <t>ladder_type</t>
  </si>
  <si>
    <t>log_intensity</t>
  </si>
  <si>
    <t>position_5</t>
  </si>
  <si>
    <t>A</t>
  </si>
  <si>
    <t>native 5'</t>
  </si>
  <si>
    <t>G</t>
  </si>
  <si>
    <t>dehydrated 5'</t>
  </si>
  <si>
    <t>U</t>
  </si>
  <si>
    <t>C</t>
  </si>
  <si>
    <t>Cap</t>
  </si>
  <si>
    <t>mU</t>
  </si>
  <si>
    <t>mG</t>
  </si>
  <si>
    <t>mC</t>
  </si>
  <si>
    <t>mA</t>
  </si>
  <si>
    <t>Coverage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</si>
</sst>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Lucida Grande"/>
      <family val="2"/>
    </font>
    <font>
      <sz val="11"/>
      <color rgb="FFFF0000"/>
      <name val="Lucida Grand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FDFE6-09F3-864C-8E90-72E3BED44A9A}">
  <dimension ref="A1:O75"/>
  <sheetViews>
    <sheetView tabSelected="1" workbookViewId="0">
      <selection activeCell="F11" sqref="F11"/>
    </sheetView>
  </sheetViews>
  <sheetFormatPr baseColWidth="10" defaultRowHeight="16" x14ac:dyDescent="0.2"/>
  <cols>
    <col min="1" max="1" width="9.83203125" style="2" bestFit="1" customWidth="1"/>
    <col min="2" max="2" width="14.33203125" style="2" bestFit="1" customWidth="1"/>
    <col min="3" max="3" width="9.33203125" style="2" bestFit="1" customWidth="1"/>
    <col min="4" max="5" width="10.83203125" style="2"/>
    <col min="6" max="6" width="9.83203125" style="2" bestFit="1" customWidth="1"/>
    <col min="7" max="7" width="14.33203125" style="2" bestFit="1" customWidth="1"/>
    <col min="8" max="8" width="9.33203125" style="2" bestFit="1" customWidth="1"/>
    <col min="9" max="9" width="16.5" style="2" bestFit="1" customWidth="1"/>
    <col min="10" max="10" width="12" style="2" bestFit="1" customWidth="1"/>
    <col min="11" max="11" width="12.1640625" style="2" bestFit="1" customWidth="1"/>
    <col min="12" max="12" width="16.6640625" style="2" bestFit="1" customWidth="1"/>
    <col min="13" max="13" width="11.5" style="2" bestFit="1" customWidth="1"/>
    <col min="14" max="14" width="12.1640625" style="2" bestFit="1" customWidth="1"/>
    <col min="15" max="15" width="9.33203125" style="2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</row>
    <row r="2" spans="1:15" x14ac:dyDescent="0.2">
      <c r="A2" s="5" t="s">
        <v>16</v>
      </c>
      <c r="B2" s="3">
        <v>536.96040000000005</v>
      </c>
      <c r="C2" s="3">
        <v>0</v>
      </c>
      <c r="D2" s="3"/>
      <c r="E2" s="3"/>
      <c r="F2" s="4" t="s">
        <v>14</v>
      </c>
      <c r="G2" s="4">
        <v>2845.3320399999998</v>
      </c>
      <c r="H2" s="4">
        <v>7</v>
      </c>
      <c r="I2" s="4">
        <v>2845.35469168586</v>
      </c>
      <c r="J2" s="4">
        <v>10964.7</v>
      </c>
      <c r="K2" s="4">
        <v>3.95897115028699</v>
      </c>
      <c r="L2" s="4">
        <v>1.013946703701E-2</v>
      </c>
      <c r="M2" s="4" t="s">
        <v>11</v>
      </c>
      <c r="N2" s="4">
        <v>4.03999675364902</v>
      </c>
      <c r="O2" s="4">
        <v>7</v>
      </c>
    </row>
    <row r="3" spans="1:15" x14ac:dyDescent="0.2">
      <c r="A3" s="5" t="s">
        <v>20</v>
      </c>
      <c r="B3" s="3">
        <v>880.02859999999998</v>
      </c>
      <c r="C3" s="3">
        <v>1</v>
      </c>
      <c r="D3" s="3"/>
      <c r="E3" s="3"/>
      <c r="F3" s="4" t="s">
        <v>10</v>
      </c>
      <c r="G3" s="4">
        <v>3174.38454</v>
      </c>
      <c r="H3" s="4">
        <v>8</v>
      </c>
      <c r="I3" s="4">
        <v>3174.4087152071202</v>
      </c>
      <c r="J3" s="4">
        <v>4165.22</v>
      </c>
      <c r="K3" s="4">
        <v>5.1342205818176296</v>
      </c>
      <c r="L3" s="4">
        <v>3.85173428291652E-3</v>
      </c>
      <c r="M3" s="4" t="s">
        <v>11</v>
      </c>
      <c r="N3" s="4">
        <v>3.6196379450615899</v>
      </c>
      <c r="O3" s="4">
        <v>8</v>
      </c>
    </row>
    <row r="4" spans="1:15" x14ac:dyDescent="0.2">
      <c r="A4" s="5" t="s">
        <v>20</v>
      </c>
      <c r="B4" s="3">
        <v>1223.0967000000001</v>
      </c>
      <c r="C4" s="3">
        <v>2</v>
      </c>
      <c r="D4" s="3"/>
      <c r="E4" s="3"/>
      <c r="F4" s="4" t="s">
        <v>10</v>
      </c>
      <c r="G4" s="4">
        <v>4851.6368400000001</v>
      </c>
      <c r="H4" s="4">
        <v>13</v>
      </c>
      <c r="I4" s="4">
        <v>4851.6237300562198</v>
      </c>
      <c r="J4" s="4">
        <v>563.91</v>
      </c>
      <c r="K4" s="4">
        <v>6.8350086684703797</v>
      </c>
      <c r="L4" s="4">
        <v>5.2146860897610595E-4</v>
      </c>
      <c r="M4" s="4" t="s">
        <v>11</v>
      </c>
      <c r="N4" s="4">
        <v>2.75120979614237</v>
      </c>
      <c r="O4" s="4">
        <v>13</v>
      </c>
    </row>
    <row r="5" spans="1:15" x14ac:dyDescent="0.2">
      <c r="A5" s="5" t="s">
        <v>10</v>
      </c>
      <c r="B5" s="3">
        <v>1552.1492000000001</v>
      </c>
      <c r="C5" s="3">
        <v>3</v>
      </c>
      <c r="D5" s="3"/>
      <c r="E5" s="3"/>
      <c r="F5" s="4" t="s">
        <v>10</v>
      </c>
      <c r="G5" s="4">
        <v>6512.8942399999996</v>
      </c>
      <c r="H5" s="4">
        <v>18</v>
      </c>
      <c r="I5" s="4">
        <v>6512.9279935352097</v>
      </c>
      <c r="J5" s="4">
        <v>11864.26</v>
      </c>
      <c r="K5" s="4">
        <v>9.5118904685656194</v>
      </c>
      <c r="L5" s="4">
        <v>1.09713237196199E-2</v>
      </c>
      <c r="M5" s="4" t="s">
        <v>11</v>
      </c>
      <c r="N5" s="4">
        <v>4.0742406554957196</v>
      </c>
      <c r="O5" s="4">
        <v>18</v>
      </c>
    </row>
    <row r="6" spans="1:15" x14ac:dyDescent="0.2">
      <c r="A6" s="3" t="s">
        <v>10</v>
      </c>
      <c r="B6" s="3">
        <v>1881.2017000000001</v>
      </c>
      <c r="C6" s="3">
        <v>4</v>
      </c>
      <c r="D6" s="3"/>
      <c r="E6" s="3"/>
      <c r="F6" s="4" t="s">
        <v>10</v>
      </c>
      <c r="G6" s="4">
        <v>5836.7786400000005</v>
      </c>
      <c r="H6" s="4">
        <v>16</v>
      </c>
      <c r="I6" s="4">
        <v>5836.7708272515101</v>
      </c>
      <c r="J6" s="4">
        <v>3885.73</v>
      </c>
      <c r="K6" s="4">
        <v>8.5563624914169303</v>
      </c>
      <c r="L6" s="4">
        <v>3.5932794558648099E-3</v>
      </c>
      <c r="M6" s="4" t="s">
        <v>13</v>
      </c>
      <c r="N6" s="4">
        <v>3.5894726203543699</v>
      </c>
      <c r="O6" s="4">
        <v>16</v>
      </c>
    </row>
    <row r="7" spans="1:15" x14ac:dyDescent="0.2">
      <c r="A7" s="3" t="s">
        <v>10</v>
      </c>
      <c r="B7" s="3">
        <v>2210.2541999999999</v>
      </c>
      <c r="C7" s="3">
        <v>5</v>
      </c>
      <c r="D7" s="3"/>
      <c r="E7" s="3"/>
      <c r="F7" s="4" t="s">
        <v>15</v>
      </c>
      <c r="G7" s="4">
        <v>19154.675340000002</v>
      </c>
      <c r="H7" s="4">
        <v>57</v>
      </c>
      <c r="I7" s="4">
        <v>19154.556944510099</v>
      </c>
      <c r="J7" s="4">
        <v>8731.11</v>
      </c>
      <c r="K7" s="4">
        <v>13.5610430832386</v>
      </c>
      <c r="L7" s="4">
        <v>8.0739830584975695E-3</v>
      </c>
      <c r="M7" s="4" t="s">
        <v>13</v>
      </c>
      <c r="N7" s="4">
        <v>3.9410694597686402</v>
      </c>
      <c r="O7" s="4">
        <v>57</v>
      </c>
    </row>
    <row r="8" spans="1:15" x14ac:dyDescent="0.2">
      <c r="A8" s="3" t="s">
        <v>10</v>
      </c>
      <c r="B8" s="3">
        <v>2539.3067000000001</v>
      </c>
      <c r="C8" s="3">
        <v>6</v>
      </c>
      <c r="D8" s="3"/>
      <c r="E8" s="3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x14ac:dyDescent="0.2">
      <c r="A9" s="3" t="s">
        <v>14</v>
      </c>
      <c r="B9" s="3">
        <v>2845.3319999999999</v>
      </c>
      <c r="C9" s="3">
        <v>7</v>
      </c>
      <c r="D9" s="3"/>
      <c r="E9" s="3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x14ac:dyDescent="0.2">
      <c r="A10" s="3" t="s">
        <v>10</v>
      </c>
      <c r="B10" s="3">
        <v>3174.3845000000001</v>
      </c>
      <c r="C10" s="3">
        <v>8</v>
      </c>
      <c r="D10" s="3"/>
      <c r="E10" s="3"/>
      <c r="F10" s="6" t="s">
        <v>21</v>
      </c>
      <c r="G10" s="4"/>
      <c r="H10" s="4"/>
      <c r="I10" s="4"/>
      <c r="J10" s="4"/>
      <c r="K10" s="4"/>
      <c r="L10" s="4"/>
      <c r="M10" s="4"/>
      <c r="N10" s="4"/>
      <c r="O10" s="4"/>
    </row>
    <row r="11" spans="1:15" x14ac:dyDescent="0.2">
      <c r="A11" s="3" t="s">
        <v>10</v>
      </c>
      <c r="B11" s="3">
        <v>3503.4369999999999</v>
      </c>
      <c r="C11" s="3">
        <v>9</v>
      </c>
      <c r="D11" s="3"/>
      <c r="E11" s="3"/>
      <c r="F11" s="6">
        <f>6/73*100</f>
        <v>8.2191780821917799</v>
      </c>
      <c r="G11" s="4"/>
      <c r="H11" s="4"/>
      <c r="I11" s="4"/>
      <c r="J11" s="4"/>
      <c r="K11" s="4"/>
      <c r="L11" s="4"/>
      <c r="M11" s="4"/>
      <c r="N11" s="4"/>
      <c r="O11" s="4"/>
    </row>
    <row r="12" spans="1:15" x14ac:dyDescent="0.2">
      <c r="A12" s="3" t="s">
        <v>12</v>
      </c>
      <c r="B12" s="3">
        <v>3848.4843999999998</v>
      </c>
      <c r="C12" s="3">
        <v>10</v>
      </c>
      <c r="D12" s="3"/>
      <c r="E12" s="3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x14ac:dyDescent="0.2">
      <c r="A13" s="3" t="s">
        <v>10</v>
      </c>
      <c r="B13" s="3">
        <v>4177.5369000000001</v>
      </c>
      <c r="C13" s="3">
        <v>11</v>
      </c>
      <c r="D13" s="3"/>
      <c r="E13" s="3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x14ac:dyDescent="0.2">
      <c r="A14" s="3" t="s">
        <v>12</v>
      </c>
      <c r="B14" s="3">
        <v>4522.5843000000004</v>
      </c>
      <c r="C14" s="3">
        <v>12</v>
      </c>
      <c r="D14" s="3"/>
      <c r="E14" s="3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x14ac:dyDescent="0.2">
      <c r="A15" s="3" t="s">
        <v>10</v>
      </c>
      <c r="B15" s="3">
        <v>4851.6368000000002</v>
      </c>
      <c r="C15" s="3">
        <v>13</v>
      </c>
      <c r="D15" s="3"/>
      <c r="E15" s="3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x14ac:dyDescent="0.2">
      <c r="A16" s="3" t="s">
        <v>12</v>
      </c>
      <c r="B16" s="3">
        <v>5196.6841999999997</v>
      </c>
      <c r="C16" s="3">
        <v>14</v>
      </c>
      <c r="D16" s="3"/>
      <c r="E16" s="3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5" x14ac:dyDescent="0.2">
      <c r="A17" s="3" t="s">
        <v>10</v>
      </c>
      <c r="B17" s="3">
        <v>5525.7367000000004</v>
      </c>
      <c r="C17" s="3">
        <v>15</v>
      </c>
      <c r="D17" s="3"/>
      <c r="E17" s="3"/>
    </row>
    <row r="18" spans="1:5" x14ac:dyDescent="0.2">
      <c r="A18" s="3" t="s">
        <v>10</v>
      </c>
      <c r="B18" s="3">
        <v>5854.7892000000002</v>
      </c>
      <c r="C18" s="3">
        <v>16</v>
      </c>
      <c r="D18" s="3"/>
      <c r="E18" s="3"/>
    </row>
    <row r="19" spans="1:5" x14ac:dyDescent="0.2">
      <c r="A19" s="3" t="s">
        <v>10</v>
      </c>
      <c r="B19" s="3">
        <v>6183.8416999999999</v>
      </c>
      <c r="C19" s="3">
        <v>17</v>
      </c>
      <c r="D19" s="3"/>
      <c r="E19" s="3"/>
    </row>
    <row r="20" spans="1:5" x14ac:dyDescent="0.2">
      <c r="A20" s="3" t="s">
        <v>10</v>
      </c>
      <c r="B20" s="3">
        <v>6512.8941999999997</v>
      </c>
      <c r="C20" s="3">
        <v>18</v>
      </c>
      <c r="D20" s="3"/>
      <c r="E20" s="3"/>
    </row>
    <row r="21" spans="1:5" x14ac:dyDescent="0.2">
      <c r="A21" s="3" t="s">
        <v>12</v>
      </c>
      <c r="B21" s="3">
        <v>6857.9416000000001</v>
      </c>
      <c r="C21" s="3">
        <v>19</v>
      </c>
      <c r="D21" s="3"/>
      <c r="E21" s="3"/>
    </row>
    <row r="22" spans="1:5" x14ac:dyDescent="0.2">
      <c r="A22" s="3" t="s">
        <v>10</v>
      </c>
      <c r="B22" s="3">
        <v>7186.9940999999999</v>
      </c>
      <c r="C22" s="3">
        <v>20</v>
      </c>
      <c r="D22" s="3"/>
      <c r="E22" s="3"/>
    </row>
    <row r="23" spans="1:5" x14ac:dyDescent="0.2">
      <c r="A23" s="3" t="s">
        <v>10</v>
      </c>
      <c r="B23" s="3">
        <v>7516.0465999999997</v>
      </c>
      <c r="C23" s="3">
        <v>21</v>
      </c>
      <c r="D23" s="3"/>
      <c r="E23" s="3"/>
    </row>
    <row r="24" spans="1:5" x14ac:dyDescent="0.2">
      <c r="A24" s="3" t="s">
        <v>12</v>
      </c>
      <c r="B24" s="3">
        <v>7861.0940000000001</v>
      </c>
      <c r="C24" s="3">
        <v>22</v>
      </c>
      <c r="D24" s="3"/>
      <c r="E24" s="3"/>
    </row>
    <row r="25" spans="1:5" x14ac:dyDescent="0.2">
      <c r="A25" s="3" t="s">
        <v>10</v>
      </c>
      <c r="B25" s="3">
        <v>8190.1464999999998</v>
      </c>
      <c r="C25" s="3">
        <v>23</v>
      </c>
      <c r="D25" s="3"/>
      <c r="E25" s="3"/>
    </row>
    <row r="26" spans="1:5" x14ac:dyDescent="0.2">
      <c r="A26" s="3" t="s">
        <v>12</v>
      </c>
      <c r="B26" s="3">
        <v>8535.1939000000002</v>
      </c>
      <c r="C26" s="3">
        <v>24</v>
      </c>
      <c r="D26" s="3"/>
      <c r="E26" s="3"/>
    </row>
    <row r="27" spans="1:5" x14ac:dyDescent="0.2">
      <c r="A27" s="3" t="s">
        <v>14</v>
      </c>
      <c r="B27" s="3">
        <v>8841.2191999999995</v>
      </c>
      <c r="C27" s="3">
        <v>25</v>
      </c>
      <c r="D27" s="3"/>
      <c r="E27" s="3"/>
    </row>
    <row r="28" spans="1:5" x14ac:dyDescent="0.2">
      <c r="A28" s="3" t="s">
        <v>10</v>
      </c>
      <c r="B28" s="3">
        <v>9170.2716999999993</v>
      </c>
      <c r="C28" s="3">
        <v>26</v>
      </c>
      <c r="D28" s="3"/>
      <c r="E28" s="3"/>
    </row>
    <row r="29" spans="1:5" x14ac:dyDescent="0.2">
      <c r="A29" s="3" t="s">
        <v>10</v>
      </c>
      <c r="B29" s="3">
        <v>9499.3241999999991</v>
      </c>
      <c r="C29" s="3">
        <v>27</v>
      </c>
      <c r="D29" s="3"/>
      <c r="E29" s="3"/>
    </row>
    <row r="30" spans="1:5" x14ac:dyDescent="0.2">
      <c r="A30" s="3" t="s">
        <v>12</v>
      </c>
      <c r="B30" s="3">
        <v>9844.3716000000004</v>
      </c>
      <c r="C30" s="3">
        <v>28</v>
      </c>
      <c r="D30" s="3"/>
      <c r="E30" s="3"/>
    </row>
    <row r="31" spans="1:5" x14ac:dyDescent="0.2">
      <c r="A31" s="3" t="s">
        <v>10</v>
      </c>
      <c r="B31" s="3">
        <v>10173.4241</v>
      </c>
      <c r="C31" s="3">
        <v>29</v>
      </c>
      <c r="D31" s="3"/>
      <c r="E31" s="3"/>
    </row>
    <row r="32" spans="1:5" x14ac:dyDescent="0.2">
      <c r="A32" s="3" t="s">
        <v>10</v>
      </c>
      <c r="B32" s="3">
        <v>10502.4766</v>
      </c>
      <c r="C32" s="3">
        <v>30</v>
      </c>
      <c r="D32" s="3"/>
      <c r="E32" s="3"/>
    </row>
    <row r="33" spans="1:5" x14ac:dyDescent="0.2">
      <c r="A33" s="3" t="s">
        <v>12</v>
      </c>
      <c r="B33" s="3">
        <v>10847.523999999999</v>
      </c>
      <c r="C33" s="3">
        <v>31</v>
      </c>
      <c r="D33" s="3"/>
      <c r="E33" s="3"/>
    </row>
    <row r="34" spans="1:5" x14ac:dyDescent="0.2">
      <c r="A34" s="3" t="s">
        <v>10</v>
      </c>
      <c r="B34" s="3">
        <v>11176.576499999999</v>
      </c>
      <c r="C34" s="3">
        <v>32</v>
      </c>
      <c r="D34" s="3"/>
      <c r="E34" s="3"/>
    </row>
    <row r="35" spans="1:5" x14ac:dyDescent="0.2">
      <c r="A35" s="3" t="s">
        <v>10</v>
      </c>
      <c r="B35" s="3">
        <v>11505.629000000001</v>
      </c>
      <c r="C35" s="3">
        <v>33</v>
      </c>
      <c r="D35" s="3"/>
      <c r="E35" s="3"/>
    </row>
    <row r="36" spans="1:5" x14ac:dyDescent="0.2">
      <c r="A36" s="3" t="s">
        <v>10</v>
      </c>
      <c r="B36" s="3">
        <v>11834.681500000001</v>
      </c>
      <c r="C36" s="3">
        <v>34</v>
      </c>
      <c r="D36" s="3"/>
      <c r="E36" s="3"/>
    </row>
    <row r="37" spans="1:5" x14ac:dyDescent="0.2">
      <c r="A37" s="3" t="s">
        <v>14</v>
      </c>
      <c r="B37" s="3">
        <v>12140.7068</v>
      </c>
      <c r="C37" s="3">
        <v>35</v>
      </c>
      <c r="D37" s="3"/>
      <c r="E37" s="3"/>
    </row>
    <row r="38" spans="1:5" x14ac:dyDescent="0.2">
      <c r="A38" s="3" t="s">
        <v>10</v>
      </c>
      <c r="B38" s="3">
        <v>12469.7593</v>
      </c>
      <c r="C38" s="3">
        <v>36</v>
      </c>
      <c r="D38" s="3"/>
      <c r="E38" s="3"/>
    </row>
    <row r="39" spans="1:5" x14ac:dyDescent="0.2">
      <c r="A39" s="3" t="s">
        <v>14</v>
      </c>
      <c r="B39" s="3">
        <v>12775.784600000001</v>
      </c>
      <c r="C39" s="3">
        <v>37</v>
      </c>
      <c r="D39" s="3"/>
      <c r="E39" s="3"/>
    </row>
    <row r="40" spans="1:5" x14ac:dyDescent="0.2">
      <c r="A40" s="3" t="s">
        <v>10</v>
      </c>
      <c r="B40" s="3">
        <v>13104.837100000001</v>
      </c>
      <c r="C40" s="3">
        <v>38</v>
      </c>
      <c r="D40" s="3"/>
      <c r="E40" s="3"/>
    </row>
    <row r="41" spans="1:5" x14ac:dyDescent="0.2">
      <c r="A41" s="3" t="s">
        <v>10</v>
      </c>
      <c r="B41" s="3">
        <v>13433.8896</v>
      </c>
      <c r="C41" s="3">
        <v>39</v>
      </c>
      <c r="D41" s="3"/>
      <c r="E41" s="3"/>
    </row>
    <row r="42" spans="1:5" x14ac:dyDescent="0.2">
      <c r="A42" s="3" t="s">
        <v>12</v>
      </c>
      <c r="B42" s="3">
        <v>13778.937</v>
      </c>
      <c r="C42" s="3">
        <v>40</v>
      </c>
      <c r="D42" s="3"/>
      <c r="E42" s="3"/>
    </row>
    <row r="43" spans="1:5" x14ac:dyDescent="0.2">
      <c r="A43" s="3" t="s">
        <v>10</v>
      </c>
      <c r="B43" s="3">
        <v>14107.9895</v>
      </c>
      <c r="C43" s="3">
        <v>41</v>
      </c>
      <c r="D43" s="3"/>
      <c r="E43" s="3"/>
    </row>
    <row r="44" spans="1:5" x14ac:dyDescent="0.2">
      <c r="A44" s="3" t="s">
        <v>15</v>
      </c>
      <c r="B44" s="3">
        <v>14413.0308</v>
      </c>
      <c r="C44" s="3">
        <v>42</v>
      </c>
      <c r="D44" s="3"/>
      <c r="E44" s="3"/>
    </row>
    <row r="45" spans="1:5" x14ac:dyDescent="0.2">
      <c r="A45" s="3" t="s">
        <v>15</v>
      </c>
      <c r="B45" s="3">
        <v>14718.072099999999</v>
      </c>
      <c r="C45" s="3">
        <v>43</v>
      </c>
      <c r="D45" s="3"/>
      <c r="E45" s="3"/>
    </row>
    <row r="46" spans="1:5" x14ac:dyDescent="0.2">
      <c r="A46" s="3" t="s">
        <v>15</v>
      </c>
      <c r="B46" s="3">
        <v>15023.1134</v>
      </c>
      <c r="C46" s="3">
        <v>44</v>
      </c>
      <c r="D46" s="3"/>
      <c r="E46" s="3"/>
    </row>
    <row r="47" spans="1:5" x14ac:dyDescent="0.2">
      <c r="A47" s="3" t="s">
        <v>15</v>
      </c>
      <c r="B47" s="3">
        <v>15328.154699999999</v>
      </c>
      <c r="C47" s="3">
        <v>45</v>
      </c>
      <c r="D47" s="3"/>
      <c r="E47" s="3"/>
    </row>
    <row r="48" spans="1:5" x14ac:dyDescent="0.2">
      <c r="A48" s="3" t="s">
        <v>12</v>
      </c>
      <c r="B48" s="3">
        <v>15673.2021</v>
      </c>
      <c r="C48" s="3">
        <v>46</v>
      </c>
      <c r="D48" s="3"/>
      <c r="E48" s="3"/>
    </row>
    <row r="49" spans="1:5" x14ac:dyDescent="0.2">
      <c r="A49" s="3" t="s">
        <v>12</v>
      </c>
      <c r="B49" s="3">
        <v>16018.2495</v>
      </c>
      <c r="C49" s="3">
        <v>47</v>
      </c>
      <c r="D49" s="3"/>
      <c r="E49" s="3"/>
    </row>
    <row r="50" spans="1:5" x14ac:dyDescent="0.2">
      <c r="A50" s="3" t="s">
        <v>15</v>
      </c>
      <c r="B50" s="3">
        <v>16323.290800000001</v>
      </c>
      <c r="C50" s="3">
        <v>48</v>
      </c>
      <c r="D50" s="3"/>
      <c r="E50" s="3"/>
    </row>
    <row r="51" spans="1:5" x14ac:dyDescent="0.2">
      <c r="A51" s="3" t="s">
        <v>12</v>
      </c>
      <c r="B51" s="3">
        <v>16668.338199999998</v>
      </c>
      <c r="C51" s="3">
        <v>49</v>
      </c>
      <c r="D51" s="3"/>
      <c r="E51" s="3"/>
    </row>
    <row r="52" spans="1:5" x14ac:dyDescent="0.2">
      <c r="A52" s="3" t="s">
        <v>15</v>
      </c>
      <c r="B52" s="3">
        <v>16973.379499999999</v>
      </c>
      <c r="C52" s="3">
        <v>50</v>
      </c>
      <c r="D52" s="3"/>
      <c r="E52" s="3"/>
    </row>
    <row r="53" spans="1:5" x14ac:dyDescent="0.2">
      <c r="A53" s="3" t="s">
        <v>15</v>
      </c>
      <c r="B53" s="3">
        <v>17278.4208</v>
      </c>
      <c r="C53" s="3">
        <v>51</v>
      </c>
      <c r="D53" s="3"/>
      <c r="E53" s="3"/>
    </row>
    <row r="54" spans="1:5" x14ac:dyDescent="0.2">
      <c r="A54" s="3" t="s">
        <v>12</v>
      </c>
      <c r="B54" s="3">
        <v>17623.468199999999</v>
      </c>
      <c r="C54" s="3">
        <v>52</v>
      </c>
      <c r="D54" s="3"/>
      <c r="E54" s="3"/>
    </row>
    <row r="55" spans="1:5" x14ac:dyDescent="0.2">
      <c r="A55" s="3" t="s">
        <v>15</v>
      </c>
      <c r="B55" s="3">
        <v>17928.5095</v>
      </c>
      <c r="C55" s="3">
        <v>53</v>
      </c>
      <c r="D55" s="3"/>
      <c r="E55" s="3"/>
    </row>
    <row r="56" spans="1:5" x14ac:dyDescent="0.2">
      <c r="A56" s="3" t="s">
        <v>15</v>
      </c>
      <c r="B56" s="3">
        <v>18233.550800000001</v>
      </c>
      <c r="C56" s="3">
        <v>54</v>
      </c>
      <c r="D56" s="3"/>
      <c r="E56" s="3"/>
    </row>
    <row r="57" spans="1:5" x14ac:dyDescent="0.2">
      <c r="A57" s="3" t="s">
        <v>10</v>
      </c>
      <c r="B57" s="3">
        <v>18562.603299999999</v>
      </c>
      <c r="C57" s="3">
        <v>55</v>
      </c>
      <c r="D57" s="3"/>
      <c r="E57" s="3"/>
    </row>
    <row r="58" spans="1:5" x14ac:dyDescent="0.2">
      <c r="A58" s="3" t="s">
        <v>15</v>
      </c>
      <c r="B58" s="3">
        <v>18867.6446</v>
      </c>
      <c r="C58" s="3">
        <v>56</v>
      </c>
      <c r="D58" s="3"/>
      <c r="E58" s="3"/>
    </row>
    <row r="59" spans="1:5" x14ac:dyDescent="0.2">
      <c r="A59" s="3" t="s">
        <v>15</v>
      </c>
      <c r="B59" s="3">
        <v>19172.6859</v>
      </c>
      <c r="C59" s="3">
        <v>57</v>
      </c>
      <c r="D59" s="3"/>
      <c r="E59" s="3"/>
    </row>
    <row r="60" spans="1:5" x14ac:dyDescent="0.2">
      <c r="A60" s="3" t="s">
        <v>10</v>
      </c>
      <c r="B60" s="3">
        <v>19501.738399999998</v>
      </c>
      <c r="C60" s="3">
        <v>58</v>
      </c>
      <c r="D60" s="3"/>
      <c r="E60" s="3"/>
    </row>
    <row r="61" spans="1:5" x14ac:dyDescent="0.2">
      <c r="A61" s="3" t="s">
        <v>14</v>
      </c>
      <c r="B61" s="3">
        <v>19807.7637</v>
      </c>
      <c r="C61" s="3">
        <v>59</v>
      </c>
      <c r="D61" s="3"/>
      <c r="E61" s="3"/>
    </row>
    <row r="62" spans="1:5" x14ac:dyDescent="0.2">
      <c r="A62" s="3" t="s">
        <v>12</v>
      </c>
      <c r="B62" s="3">
        <v>20152.811099999999</v>
      </c>
      <c r="C62" s="3">
        <v>60</v>
      </c>
      <c r="D62" s="3"/>
      <c r="E62" s="3"/>
    </row>
    <row r="63" spans="1:5" x14ac:dyDescent="0.2">
      <c r="A63" s="3" t="s">
        <v>12</v>
      </c>
      <c r="B63" s="3">
        <v>20497.858499999998</v>
      </c>
      <c r="C63" s="3">
        <v>61</v>
      </c>
      <c r="D63" s="3"/>
      <c r="E63" s="3"/>
    </row>
    <row r="64" spans="1:5" x14ac:dyDescent="0.2">
      <c r="A64" s="3" t="s">
        <v>10</v>
      </c>
      <c r="B64" s="3">
        <v>20826.911</v>
      </c>
      <c r="C64" s="3">
        <v>62</v>
      </c>
      <c r="D64" s="3"/>
      <c r="E64" s="3"/>
    </row>
    <row r="65" spans="1:5" x14ac:dyDescent="0.2">
      <c r="A65" s="3" t="s">
        <v>10</v>
      </c>
      <c r="B65" s="3">
        <v>21155.963500000002</v>
      </c>
      <c r="C65" s="3">
        <v>63</v>
      </c>
      <c r="D65" s="3"/>
      <c r="E65" s="3"/>
    </row>
    <row r="66" spans="1:5" x14ac:dyDescent="0.2">
      <c r="A66" s="3" t="s">
        <v>12</v>
      </c>
      <c r="B66" s="3">
        <v>21501.010900000001</v>
      </c>
      <c r="C66" s="3">
        <v>64</v>
      </c>
      <c r="D66" s="3"/>
      <c r="E66" s="3"/>
    </row>
    <row r="67" spans="1:5" x14ac:dyDescent="0.2">
      <c r="A67" s="3" t="s">
        <v>10</v>
      </c>
      <c r="B67" s="3">
        <v>21830.063399999999</v>
      </c>
      <c r="C67" s="3">
        <v>65</v>
      </c>
      <c r="D67" s="3"/>
      <c r="E67" s="3"/>
    </row>
    <row r="68" spans="1:5" x14ac:dyDescent="0.2">
      <c r="A68" s="3" t="s">
        <v>15</v>
      </c>
      <c r="B68" s="3">
        <v>22135.1047</v>
      </c>
      <c r="C68" s="3">
        <v>66</v>
      </c>
      <c r="D68" s="3"/>
      <c r="E68" s="3"/>
    </row>
    <row r="69" spans="1:5" x14ac:dyDescent="0.2">
      <c r="A69" s="3" t="s">
        <v>12</v>
      </c>
      <c r="B69" s="3">
        <v>22480.152099999999</v>
      </c>
      <c r="C69" s="3">
        <v>67</v>
      </c>
      <c r="D69" s="3"/>
      <c r="E69" s="3"/>
    </row>
    <row r="70" spans="1:5" x14ac:dyDescent="0.2">
      <c r="A70" s="3" t="s">
        <v>15</v>
      </c>
      <c r="B70" s="3">
        <v>22785.1934</v>
      </c>
      <c r="C70" s="3">
        <v>68</v>
      </c>
      <c r="D70" s="3"/>
      <c r="E70" s="3"/>
    </row>
    <row r="71" spans="1:5" x14ac:dyDescent="0.2">
      <c r="A71" s="3" t="s">
        <v>15</v>
      </c>
      <c r="B71" s="3">
        <v>23090.234700000001</v>
      </c>
      <c r="C71" s="3">
        <v>69</v>
      </c>
      <c r="D71" s="3"/>
      <c r="E71" s="3"/>
    </row>
    <row r="72" spans="1:5" x14ac:dyDescent="0.2">
      <c r="A72" s="3" t="s">
        <v>10</v>
      </c>
      <c r="B72" s="3">
        <v>23419.287199999999</v>
      </c>
      <c r="C72" s="3">
        <v>70</v>
      </c>
      <c r="D72" s="3"/>
      <c r="E72" s="3"/>
    </row>
    <row r="73" spans="1:5" x14ac:dyDescent="0.2">
      <c r="A73" s="3" t="s">
        <v>10</v>
      </c>
      <c r="B73" s="3">
        <v>23748.3397</v>
      </c>
      <c r="C73" s="3">
        <v>71</v>
      </c>
      <c r="D73" s="3"/>
      <c r="E73" s="3"/>
    </row>
    <row r="74" spans="1:5" x14ac:dyDescent="0.2">
      <c r="A74" s="3" t="s">
        <v>10</v>
      </c>
      <c r="B74" s="3">
        <v>24077.392199999998</v>
      </c>
      <c r="C74" s="3">
        <v>72</v>
      </c>
      <c r="D74" s="3"/>
      <c r="E74" s="3"/>
    </row>
    <row r="75" spans="1:5" x14ac:dyDescent="0.2">
      <c r="A75" s="3" t="s">
        <v>10</v>
      </c>
      <c r="B75" s="3">
        <v>24406.4447</v>
      </c>
      <c r="C75" s="3">
        <v>73</v>
      </c>
      <c r="D75" s="3"/>
      <c r="E7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E47BD-CF37-CB4C-839B-F9C692D61FBB}">
  <dimension ref="A1:O75"/>
  <sheetViews>
    <sheetView workbookViewId="0">
      <selection activeCell="G25" sqref="G25"/>
    </sheetView>
  </sheetViews>
  <sheetFormatPr baseColWidth="10" defaultRowHeight="16" x14ac:dyDescent="0.2"/>
  <cols>
    <col min="1" max="1" width="9.83203125" style="2" bestFit="1" customWidth="1"/>
    <col min="2" max="2" width="14.33203125" style="2" bestFit="1" customWidth="1"/>
    <col min="3" max="3" width="9.33203125" style="2" bestFit="1" customWidth="1"/>
    <col min="4" max="5" width="10.83203125" style="2"/>
    <col min="6" max="6" width="9.83203125" style="2" bestFit="1" customWidth="1"/>
    <col min="7" max="7" width="14.33203125" style="2" bestFit="1" customWidth="1"/>
    <col min="8" max="8" width="9.33203125" style="2" bestFit="1" customWidth="1"/>
    <col min="9" max="9" width="16.5" style="2" bestFit="1" customWidth="1"/>
    <col min="10" max="10" width="12" style="2" bestFit="1" customWidth="1"/>
    <col min="11" max="11" width="12.1640625" style="2" bestFit="1" customWidth="1"/>
    <col min="12" max="12" width="16.6640625" style="2" bestFit="1" customWidth="1"/>
    <col min="13" max="13" width="11.5" style="2" bestFit="1" customWidth="1"/>
    <col min="14" max="14" width="12.1640625" style="2" bestFit="1" customWidth="1"/>
    <col min="15" max="15" width="9.33203125" style="2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</row>
    <row r="2" spans="1:15" x14ac:dyDescent="0.2">
      <c r="A2" s="5" t="s">
        <v>16</v>
      </c>
      <c r="B2" s="3">
        <v>536.96040000000005</v>
      </c>
      <c r="C2" s="3">
        <v>0</v>
      </c>
      <c r="D2" s="3"/>
      <c r="E2" s="3"/>
      <c r="F2" s="4" t="s">
        <v>10</v>
      </c>
      <c r="G2" s="4">
        <v>3102.35088</v>
      </c>
      <c r="H2" s="4">
        <v>8</v>
      </c>
      <c r="I2" s="4">
        <v>3102.3742320010001</v>
      </c>
      <c r="J2" s="4">
        <v>22119.09</v>
      </c>
      <c r="K2" s="4">
        <v>3.0339094336509702</v>
      </c>
      <c r="L2" s="4">
        <v>2.0454347491828999E-2</v>
      </c>
      <c r="M2" s="4" t="s">
        <v>11</v>
      </c>
      <c r="N2" s="4">
        <v>4.3447672557199999</v>
      </c>
      <c r="O2" s="4">
        <v>8</v>
      </c>
    </row>
    <row r="3" spans="1:15" x14ac:dyDescent="0.2">
      <c r="A3" s="5" t="s">
        <v>19</v>
      </c>
      <c r="B3" s="3">
        <v>856.01729999999998</v>
      </c>
      <c r="C3" s="3">
        <v>1</v>
      </c>
      <c r="D3" s="3"/>
      <c r="E3" s="3"/>
      <c r="F3" s="4" t="s">
        <v>10</v>
      </c>
      <c r="G3" s="4">
        <v>3431.4033800000002</v>
      </c>
      <c r="H3" s="4">
        <v>9</v>
      </c>
      <c r="I3" s="4">
        <v>3431.43147081702</v>
      </c>
      <c r="J3" s="4">
        <v>26529.37</v>
      </c>
      <c r="K3" s="4">
        <v>4.4674359515984898</v>
      </c>
      <c r="L3" s="4">
        <v>2.4532697896672201E-2</v>
      </c>
      <c r="M3" s="4" t="s">
        <v>11</v>
      </c>
      <c r="N3" s="4">
        <v>4.4237269367982996</v>
      </c>
      <c r="O3" s="4">
        <v>9</v>
      </c>
    </row>
    <row r="4" spans="1:15" x14ac:dyDescent="0.2">
      <c r="A4" s="5" t="s">
        <v>19</v>
      </c>
      <c r="B4" s="3">
        <v>1175.0743</v>
      </c>
      <c r="C4" s="3">
        <v>2</v>
      </c>
      <c r="D4" s="3"/>
      <c r="E4" s="3"/>
      <c r="F4" s="4" t="s">
        <v>10</v>
      </c>
      <c r="G4" s="4">
        <v>4779.6031800000001</v>
      </c>
      <c r="H4" s="4">
        <v>13</v>
      </c>
      <c r="I4" s="4">
        <v>4779.6239917889998</v>
      </c>
      <c r="J4" s="4">
        <v>7267.32</v>
      </c>
      <c r="K4" s="4">
        <v>7.2856919105529796</v>
      </c>
      <c r="L4" s="4">
        <v>6.7203618509766297E-3</v>
      </c>
      <c r="M4" s="4" t="s">
        <v>11</v>
      </c>
      <c r="N4" s="4">
        <v>3.8613742837895799</v>
      </c>
      <c r="O4" s="4">
        <v>13</v>
      </c>
    </row>
    <row r="5" spans="1:15" x14ac:dyDescent="0.2">
      <c r="A5" s="5" t="s">
        <v>15</v>
      </c>
      <c r="B5" s="3">
        <v>1480.1156000000001</v>
      </c>
      <c r="C5" s="3">
        <v>3</v>
      </c>
      <c r="D5" s="3"/>
      <c r="E5" s="3"/>
      <c r="F5" s="4" t="s">
        <v>10</v>
      </c>
      <c r="G5" s="4">
        <v>7444.0129800000004</v>
      </c>
      <c r="H5" s="4">
        <v>21</v>
      </c>
      <c r="I5" s="4">
        <v>7444.0526884827405</v>
      </c>
      <c r="J5" s="4">
        <v>16057.99</v>
      </c>
      <c r="K5" s="4">
        <v>9.8975390171686808</v>
      </c>
      <c r="L5" s="4">
        <v>1.4849422262865E-2</v>
      </c>
      <c r="M5" s="4" t="s">
        <v>11</v>
      </c>
      <c r="N5" s="4">
        <v>4.2056911831257704</v>
      </c>
      <c r="O5" s="4">
        <v>21</v>
      </c>
    </row>
    <row r="6" spans="1:15" x14ac:dyDescent="0.2">
      <c r="A6" s="3" t="s">
        <v>10</v>
      </c>
      <c r="B6" s="3">
        <v>1809.1681000000001</v>
      </c>
      <c r="C6" s="3">
        <v>4</v>
      </c>
      <c r="D6" s="3"/>
      <c r="E6" s="3"/>
      <c r="F6" s="4" t="s">
        <v>12</v>
      </c>
      <c r="G6" s="4">
        <v>7789.0603799999999</v>
      </c>
      <c r="H6" s="4">
        <v>22</v>
      </c>
      <c r="I6" s="4">
        <v>7789.0946419313696</v>
      </c>
      <c r="J6" s="4">
        <v>10767.62</v>
      </c>
      <c r="K6" s="4">
        <v>10.079552073844299</v>
      </c>
      <c r="L6" s="4">
        <v>9.9572198105784496E-3</v>
      </c>
      <c r="M6" s="4" t="s">
        <v>11</v>
      </c>
      <c r="N6" s="4">
        <v>4.0321197204669001</v>
      </c>
      <c r="O6" s="4">
        <v>22</v>
      </c>
    </row>
    <row r="7" spans="1:15" x14ac:dyDescent="0.2">
      <c r="A7" s="3" t="s">
        <v>10</v>
      </c>
      <c r="B7" s="3">
        <v>2138.2206000000001</v>
      </c>
      <c r="C7" s="3">
        <v>5</v>
      </c>
      <c r="D7" s="3"/>
      <c r="E7" s="3"/>
      <c r="F7" s="4" t="s">
        <v>12</v>
      </c>
      <c r="G7" s="4">
        <v>3758.4401800000001</v>
      </c>
      <c r="H7" s="4">
        <v>10</v>
      </c>
      <c r="I7" s="4">
        <v>3758.4135625905701</v>
      </c>
      <c r="J7" s="4">
        <v>2582.37</v>
      </c>
      <c r="K7" s="4">
        <v>5.5843368426640803</v>
      </c>
      <c r="L7" s="4">
        <v>2.3880138528517402E-3</v>
      </c>
      <c r="M7" s="4" t="s">
        <v>13</v>
      </c>
      <c r="N7" s="4">
        <v>3.4120184677700802</v>
      </c>
      <c r="O7" s="4">
        <v>10</v>
      </c>
    </row>
    <row r="8" spans="1:15" x14ac:dyDescent="0.2">
      <c r="A8" s="3" t="s">
        <v>10</v>
      </c>
      <c r="B8" s="3">
        <v>2467.2730999999999</v>
      </c>
      <c r="C8" s="3">
        <v>6</v>
      </c>
      <c r="D8" s="3"/>
      <c r="E8" s="3"/>
      <c r="F8" s="4" t="s">
        <v>10</v>
      </c>
      <c r="G8" s="4">
        <v>4087.4926799999998</v>
      </c>
      <c r="H8" s="4">
        <v>11</v>
      </c>
      <c r="I8" s="4">
        <v>4087.4684507243301</v>
      </c>
      <c r="J8" s="4">
        <v>9992.0300000000007</v>
      </c>
      <c r="K8" s="4">
        <v>6.8350086684703797</v>
      </c>
      <c r="L8" s="4">
        <v>9.2400028106391398E-3</v>
      </c>
      <c r="M8" s="4" t="s">
        <v>13</v>
      </c>
      <c r="N8" s="4">
        <v>3.9996537292907099</v>
      </c>
      <c r="O8" s="4">
        <v>11</v>
      </c>
    </row>
    <row r="9" spans="1:15" x14ac:dyDescent="0.2">
      <c r="A9" s="3" t="s">
        <v>14</v>
      </c>
      <c r="B9" s="3">
        <v>2773.2984000000001</v>
      </c>
      <c r="C9" s="3">
        <v>7</v>
      </c>
      <c r="D9" s="3"/>
      <c r="E9" s="3"/>
      <c r="F9" s="4" t="s">
        <v>12</v>
      </c>
      <c r="G9" s="4">
        <v>4432.5400799999998</v>
      </c>
      <c r="H9" s="4">
        <v>12</v>
      </c>
      <c r="I9" s="4">
        <v>4432.5186965832199</v>
      </c>
      <c r="J9" s="4">
        <v>7217.32</v>
      </c>
      <c r="K9" s="4">
        <v>7.0185110405762998</v>
      </c>
      <c r="L9" s="4">
        <v>6.6741249861421697E-3</v>
      </c>
      <c r="M9" s="4" t="s">
        <v>13</v>
      </c>
      <c r="N9" s="4">
        <v>3.8583759613810802</v>
      </c>
      <c r="O9" s="4">
        <v>12</v>
      </c>
    </row>
    <row r="10" spans="1:15" x14ac:dyDescent="0.2">
      <c r="A10" s="3" t="s">
        <v>10</v>
      </c>
      <c r="B10" s="3">
        <v>3102.3508999999999</v>
      </c>
      <c r="C10" s="3">
        <v>8</v>
      </c>
      <c r="D10" s="3"/>
      <c r="E10" s="3"/>
      <c r="F10" s="4" t="s">
        <v>10</v>
      </c>
      <c r="G10" s="4">
        <v>5764.7449800000004</v>
      </c>
      <c r="H10" s="4">
        <v>16</v>
      </c>
      <c r="I10" s="4">
        <v>5764.7212894149798</v>
      </c>
      <c r="J10" s="4">
        <v>64003.1</v>
      </c>
      <c r="K10" s="4">
        <v>8.8243558243592606</v>
      </c>
      <c r="L10" s="4">
        <v>5.9186053673739802E-2</v>
      </c>
      <c r="M10" s="4" t="s">
        <v>13</v>
      </c>
      <c r="N10" s="4">
        <v>4.8062010096133996</v>
      </c>
      <c r="O10" s="4">
        <v>16</v>
      </c>
    </row>
    <row r="11" spans="1:15" x14ac:dyDescent="0.2">
      <c r="A11" s="3" t="s">
        <v>10</v>
      </c>
      <c r="B11" s="3">
        <v>3431.4034000000001</v>
      </c>
      <c r="C11" s="3">
        <v>9</v>
      </c>
      <c r="D11" s="3"/>
      <c r="E11" s="3"/>
      <c r="F11" s="4" t="s">
        <v>10</v>
      </c>
      <c r="G11" s="4">
        <v>7096.9498800000001</v>
      </c>
      <c r="H11" s="4">
        <v>20</v>
      </c>
      <c r="I11" s="4">
        <v>7096.9095555475396</v>
      </c>
      <c r="J11" s="4">
        <v>5018.9799999999996</v>
      </c>
      <c r="K11" s="4">
        <v>9.4448085740884107</v>
      </c>
      <c r="L11" s="4">
        <v>4.6412379973380397E-3</v>
      </c>
      <c r="M11" s="4" t="s">
        <v>13</v>
      </c>
      <c r="N11" s="4">
        <v>3.7006154650769698</v>
      </c>
      <c r="O11" s="4">
        <v>20</v>
      </c>
    </row>
    <row r="12" spans="1:15" x14ac:dyDescent="0.2">
      <c r="A12" s="3" t="s">
        <v>12</v>
      </c>
      <c r="B12" s="3">
        <v>3776.4508000000001</v>
      </c>
      <c r="C12" s="3">
        <v>10</v>
      </c>
      <c r="D12" s="3"/>
      <c r="E12" s="3"/>
      <c r="F12" s="4" t="s">
        <v>10</v>
      </c>
      <c r="G12" s="4">
        <v>7426.0023799999999</v>
      </c>
      <c r="H12" s="4">
        <v>21</v>
      </c>
      <c r="I12" s="4">
        <v>7425.9587288932298</v>
      </c>
      <c r="J12" s="4">
        <v>28201.759999999998</v>
      </c>
      <c r="K12" s="4">
        <v>10.079552073844299</v>
      </c>
      <c r="L12" s="4">
        <v>2.60792193042826E-2</v>
      </c>
      <c r="M12" s="4" t="s">
        <v>13</v>
      </c>
      <c r="N12" s="4">
        <v>4.4502762123773998</v>
      </c>
      <c r="O12" s="4">
        <v>21</v>
      </c>
    </row>
    <row r="13" spans="1:15" x14ac:dyDescent="0.2">
      <c r="A13" s="3" t="s">
        <v>10</v>
      </c>
      <c r="B13" s="3">
        <v>4105.5033000000003</v>
      </c>
      <c r="C13" s="3">
        <v>11</v>
      </c>
      <c r="D13" s="3"/>
      <c r="E13" s="3"/>
      <c r="F13" s="4" t="s">
        <v>14</v>
      </c>
      <c r="G13" s="4">
        <v>8751.1749799999998</v>
      </c>
      <c r="H13" s="4">
        <v>25</v>
      </c>
      <c r="I13" s="4">
        <v>8751.2459436965091</v>
      </c>
      <c r="J13" s="4">
        <v>16448.52</v>
      </c>
      <c r="K13" s="4">
        <v>10.528446516958899</v>
      </c>
      <c r="L13" s="4">
        <v>1.52105599193411E-2</v>
      </c>
      <c r="M13" s="4" t="s">
        <v>13</v>
      </c>
      <c r="N13" s="4">
        <v>4.2161268272252501</v>
      </c>
      <c r="O13" s="4">
        <v>25</v>
      </c>
    </row>
    <row r="14" spans="1:15" x14ac:dyDescent="0.2">
      <c r="A14" s="3" t="s">
        <v>12</v>
      </c>
      <c r="B14" s="3">
        <v>4450.5506999999998</v>
      </c>
      <c r="C14" s="3">
        <v>12</v>
      </c>
      <c r="D14" s="3"/>
      <c r="E14" s="3"/>
      <c r="F14" s="4" t="s">
        <v>10</v>
      </c>
      <c r="G14" s="4">
        <v>13014.792880000001</v>
      </c>
      <c r="H14" s="4">
        <v>38</v>
      </c>
      <c r="I14" s="4">
        <v>13014.663146344899</v>
      </c>
      <c r="J14" s="4">
        <v>4680.0600000000004</v>
      </c>
      <c r="K14" s="4">
        <v>12.3583271598498</v>
      </c>
      <c r="L14" s="4">
        <v>4.3278260327440799E-3</v>
      </c>
      <c r="M14" s="4" t="s">
        <v>13</v>
      </c>
      <c r="N14" s="4">
        <v>3.6702514209164101</v>
      </c>
      <c r="O14" s="4">
        <v>38</v>
      </c>
    </row>
    <row r="15" spans="1:15" x14ac:dyDescent="0.2">
      <c r="A15" s="3" t="s">
        <v>10</v>
      </c>
      <c r="B15" s="3">
        <v>4779.6031999999996</v>
      </c>
      <c r="C15" s="3">
        <v>13</v>
      </c>
      <c r="D15" s="3"/>
      <c r="E15" s="3"/>
      <c r="F15" s="4" t="s">
        <v>12</v>
      </c>
      <c r="G15" s="4">
        <v>15583.157880000001</v>
      </c>
      <c r="H15" s="4">
        <v>46</v>
      </c>
      <c r="I15" s="4">
        <v>15583.2596309121</v>
      </c>
      <c r="J15" s="4">
        <v>10371.48</v>
      </c>
      <c r="K15" s="4">
        <v>13.288848785130201</v>
      </c>
      <c r="L15" s="4">
        <v>9.5908943778679305E-3</v>
      </c>
      <c r="M15" s="4" t="s">
        <v>13</v>
      </c>
      <c r="N15" s="4">
        <v>4.0158407342068498</v>
      </c>
      <c r="O15" s="4">
        <v>46</v>
      </c>
    </row>
    <row r="16" spans="1:15" x14ac:dyDescent="0.2">
      <c r="A16" s="3" t="s">
        <v>12</v>
      </c>
      <c r="B16" s="3">
        <v>5124.6505999999999</v>
      </c>
      <c r="C16" s="3">
        <v>14</v>
      </c>
      <c r="D16" s="3"/>
      <c r="E16" s="3"/>
      <c r="F16" s="4" t="s">
        <v>15</v>
      </c>
      <c r="G16" s="4">
        <v>18143.506580000001</v>
      </c>
      <c r="H16" s="4">
        <v>54</v>
      </c>
      <c r="I16" s="4">
        <v>18143.354158087299</v>
      </c>
      <c r="J16" s="4">
        <v>29785.52</v>
      </c>
      <c r="K16" s="4">
        <v>13.199698384173701</v>
      </c>
      <c r="L16" s="4">
        <v>2.7543781245287301E-2</v>
      </c>
      <c r="M16" s="4" t="s">
        <v>13</v>
      </c>
      <c r="N16" s="4">
        <v>4.4740051864781503</v>
      </c>
      <c r="O16" s="4">
        <v>54</v>
      </c>
    </row>
    <row r="17" spans="1:6" x14ac:dyDescent="0.2">
      <c r="A17" s="3" t="s">
        <v>10</v>
      </c>
      <c r="B17" s="3">
        <v>5453.7030999999997</v>
      </c>
      <c r="C17" s="3">
        <v>15</v>
      </c>
      <c r="D17" s="3"/>
      <c r="E17" s="3"/>
    </row>
    <row r="18" spans="1:6" x14ac:dyDescent="0.2">
      <c r="A18" s="3" t="s">
        <v>10</v>
      </c>
      <c r="B18" s="3">
        <v>5782.7556000000004</v>
      </c>
      <c r="C18" s="3">
        <v>16</v>
      </c>
      <c r="D18" s="3"/>
      <c r="E18" s="3"/>
    </row>
    <row r="19" spans="1:6" x14ac:dyDescent="0.2">
      <c r="A19" s="3" t="s">
        <v>10</v>
      </c>
      <c r="B19" s="3">
        <v>6111.8081000000002</v>
      </c>
      <c r="C19" s="3">
        <v>17</v>
      </c>
      <c r="D19" s="3"/>
      <c r="E19" s="3"/>
      <c r="F19" s="6" t="s">
        <v>21</v>
      </c>
    </row>
    <row r="20" spans="1:6" x14ac:dyDescent="0.2">
      <c r="A20" s="3" t="s">
        <v>10</v>
      </c>
      <c r="B20" s="3">
        <v>6440.8606</v>
      </c>
      <c r="C20" s="3">
        <v>18</v>
      </c>
      <c r="D20" s="3"/>
      <c r="E20" s="3"/>
      <c r="F20" s="6">
        <f>15/73*100</f>
        <v>20.547945205479451</v>
      </c>
    </row>
    <row r="21" spans="1:6" x14ac:dyDescent="0.2">
      <c r="A21" s="3" t="s">
        <v>12</v>
      </c>
      <c r="B21" s="3">
        <v>6785.9080000000004</v>
      </c>
      <c r="C21" s="3">
        <v>19</v>
      </c>
      <c r="D21" s="3"/>
      <c r="E21" s="3"/>
    </row>
    <row r="22" spans="1:6" x14ac:dyDescent="0.2">
      <c r="A22" s="3" t="s">
        <v>10</v>
      </c>
      <c r="B22" s="3">
        <v>7114.9605000000001</v>
      </c>
      <c r="C22" s="3">
        <v>20</v>
      </c>
      <c r="D22" s="3"/>
      <c r="E22" s="3"/>
    </row>
    <row r="23" spans="1:6" x14ac:dyDescent="0.2">
      <c r="A23" s="3" t="s">
        <v>10</v>
      </c>
      <c r="B23" s="3">
        <v>7444.0129999999999</v>
      </c>
      <c r="C23" s="3">
        <v>21</v>
      </c>
      <c r="D23" s="3"/>
      <c r="E23" s="3"/>
    </row>
    <row r="24" spans="1:6" x14ac:dyDescent="0.2">
      <c r="A24" s="3" t="s">
        <v>12</v>
      </c>
      <c r="B24" s="3">
        <v>7789.0604000000003</v>
      </c>
      <c r="C24" s="3">
        <v>22</v>
      </c>
      <c r="D24" s="3"/>
      <c r="E24" s="3"/>
    </row>
    <row r="25" spans="1:6" x14ac:dyDescent="0.2">
      <c r="A25" s="3" t="s">
        <v>10</v>
      </c>
      <c r="B25" s="3">
        <v>8118.1129000000001</v>
      </c>
      <c r="C25" s="3">
        <v>23</v>
      </c>
      <c r="D25" s="3"/>
      <c r="E25" s="3"/>
    </row>
    <row r="26" spans="1:6" x14ac:dyDescent="0.2">
      <c r="A26" s="3" t="s">
        <v>12</v>
      </c>
      <c r="B26" s="3">
        <v>8463.1602999999996</v>
      </c>
      <c r="C26" s="3">
        <v>24</v>
      </c>
      <c r="D26" s="3"/>
      <c r="E26" s="3"/>
    </row>
    <row r="27" spans="1:6" x14ac:dyDescent="0.2">
      <c r="A27" s="3" t="s">
        <v>14</v>
      </c>
      <c r="B27" s="3">
        <v>8769.1856000000007</v>
      </c>
      <c r="C27" s="3">
        <v>25</v>
      </c>
      <c r="D27" s="3"/>
      <c r="E27" s="3"/>
    </row>
    <row r="28" spans="1:6" x14ac:dyDescent="0.2">
      <c r="A28" s="3" t="s">
        <v>10</v>
      </c>
      <c r="B28" s="3">
        <v>9098.2381000000005</v>
      </c>
      <c r="C28" s="3">
        <v>26</v>
      </c>
      <c r="D28" s="3"/>
      <c r="E28" s="3"/>
    </row>
    <row r="29" spans="1:6" x14ac:dyDescent="0.2">
      <c r="A29" s="3" t="s">
        <v>10</v>
      </c>
      <c r="B29" s="3">
        <v>9427.2906000000003</v>
      </c>
      <c r="C29" s="3">
        <v>27</v>
      </c>
      <c r="D29" s="3"/>
      <c r="E29" s="3"/>
    </row>
    <row r="30" spans="1:6" x14ac:dyDescent="0.2">
      <c r="A30" s="3" t="s">
        <v>12</v>
      </c>
      <c r="B30" s="3">
        <v>9772.3379999999997</v>
      </c>
      <c r="C30" s="3">
        <v>28</v>
      </c>
      <c r="D30" s="3"/>
      <c r="E30" s="3"/>
    </row>
    <row r="31" spans="1:6" x14ac:dyDescent="0.2">
      <c r="A31" s="3" t="s">
        <v>10</v>
      </c>
      <c r="B31" s="3">
        <v>10101.3905</v>
      </c>
      <c r="C31" s="3">
        <v>29</v>
      </c>
      <c r="D31" s="3"/>
      <c r="E31" s="3"/>
    </row>
    <row r="32" spans="1:6" x14ac:dyDescent="0.2">
      <c r="A32" s="3" t="s">
        <v>10</v>
      </c>
      <c r="B32" s="3">
        <v>10430.442999999999</v>
      </c>
      <c r="C32" s="3">
        <v>30</v>
      </c>
      <c r="D32" s="3"/>
      <c r="E32" s="3"/>
    </row>
    <row r="33" spans="1:5" x14ac:dyDescent="0.2">
      <c r="A33" s="3" t="s">
        <v>12</v>
      </c>
      <c r="B33" s="3">
        <v>10775.490400000001</v>
      </c>
      <c r="C33" s="3">
        <v>31</v>
      </c>
      <c r="D33" s="3"/>
      <c r="E33" s="3"/>
    </row>
    <row r="34" spans="1:5" x14ac:dyDescent="0.2">
      <c r="A34" s="3" t="s">
        <v>10</v>
      </c>
      <c r="B34" s="3">
        <v>11104.5429</v>
      </c>
      <c r="C34" s="3">
        <v>32</v>
      </c>
      <c r="D34" s="3"/>
      <c r="E34" s="3"/>
    </row>
    <row r="35" spans="1:5" x14ac:dyDescent="0.2">
      <c r="A35" s="3" t="s">
        <v>10</v>
      </c>
      <c r="B35" s="3">
        <v>11433.5954</v>
      </c>
      <c r="C35" s="3">
        <v>33</v>
      </c>
      <c r="D35" s="3"/>
      <c r="E35" s="3"/>
    </row>
    <row r="36" spans="1:5" x14ac:dyDescent="0.2">
      <c r="A36" s="3" t="s">
        <v>10</v>
      </c>
      <c r="B36" s="3">
        <v>11762.6479</v>
      </c>
      <c r="C36" s="3">
        <v>34</v>
      </c>
      <c r="D36" s="3"/>
      <c r="E36" s="3"/>
    </row>
    <row r="37" spans="1:5" x14ac:dyDescent="0.2">
      <c r="A37" s="3" t="s">
        <v>14</v>
      </c>
      <c r="B37" s="3">
        <v>12068.673199999999</v>
      </c>
      <c r="C37" s="3">
        <v>35</v>
      </c>
      <c r="D37" s="3"/>
      <c r="E37" s="3"/>
    </row>
    <row r="38" spans="1:5" x14ac:dyDescent="0.2">
      <c r="A38" s="3" t="s">
        <v>10</v>
      </c>
      <c r="B38" s="3">
        <v>12397.725700000001</v>
      </c>
      <c r="C38" s="3">
        <v>36</v>
      </c>
      <c r="D38" s="3"/>
      <c r="E38" s="3"/>
    </row>
    <row r="39" spans="1:5" x14ac:dyDescent="0.2">
      <c r="A39" s="3" t="s">
        <v>14</v>
      </c>
      <c r="B39" s="3">
        <v>12703.751</v>
      </c>
      <c r="C39" s="3">
        <v>37</v>
      </c>
      <c r="D39" s="3"/>
      <c r="E39" s="3"/>
    </row>
    <row r="40" spans="1:5" x14ac:dyDescent="0.2">
      <c r="A40" s="3" t="s">
        <v>10</v>
      </c>
      <c r="B40" s="3">
        <v>13032.8035</v>
      </c>
      <c r="C40" s="3">
        <v>38</v>
      </c>
      <c r="D40" s="3"/>
      <c r="E40" s="3"/>
    </row>
    <row r="41" spans="1:5" x14ac:dyDescent="0.2">
      <c r="A41" s="3" t="s">
        <v>10</v>
      </c>
      <c r="B41" s="3">
        <v>13361.856</v>
      </c>
      <c r="C41" s="3">
        <v>39</v>
      </c>
      <c r="D41" s="3"/>
      <c r="E41" s="3"/>
    </row>
    <row r="42" spans="1:5" x14ac:dyDescent="0.2">
      <c r="A42" s="3" t="s">
        <v>12</v>
      </c>
      <c r="B42" s="3">
        <v>13706.903399999999</v>
      </c>
      <c r="C42" s="3">
        <v>40</v>
      </c>
      <c r="D42" s="3"/>
      <c r="E42" s="3"/>
    </row>
    <row r="43" spans="1:5" x14ac:dyDescent="0.2">
      <c r="A43" s="3" t="s">
        <v>10</v>
      </c>
      <c r="B43" s="3">
        <v>14035.955900000001</v>
      </c>
      <c r="C43" s="3">
        <v>41</v>
      </c>
      <c r="D43" s="3"/>
      <c r="E43" s="3"/>
    </row>
    <row r="44" spans="1:5" x14ac:dyDescent="0.2">
      <c r="A44" s="3" t="s">
        <v>15</v>
      </c>
      <c r="B44" s="3">
        <v>14340.9972</v>
      </c>
      <c r="C44" s="3">
        <v>42</v>
      </c>
      <c r="D44" s="3"/>
      <c r="E44" s="3"/>
    </row>
    <row r="45" spans="1:5" x14ac:dyDescent="0.2">
      <c r="A45" s="3" t="s">
        <v>15</v>
      </c>
      <c r="B45" s="3">
        <v>14646.038500000001</v>
      </c>
      <c r="C45" s="3">
        <v>43</v>
      </c>
      <c r="D45" s="3"/>
      <c r="E45" s="3"/>
    </row>
    <row r="46" spans="1:5" x14ac:dyDescent="0.2">
      <c r="A46" s="3" t="s">
        <v>15</v>
      </c>
      <c r="B46" s="3">
        <v>14951.0798</v>
      </c>
      <c r="C46" s="3">
        <v>44</v>
      </c>
      <c r="D46" s="3"/>
      <c r="E46" s="3"/>
    </row>
    <row r="47" spans="1:5" x14ac:dyDescent="0.2">
      <c r="A47" s="3" t="s">
        <v>15</v>
      </c>
      <c r="B47" s="3">
        <v>15256.1211</v>
      </c>
      <c r="C47" s="3">
        <v>45</v>
      </c>
      <c r="D47" s="3"/>
      <c r="E47" s="3"/>
    </row>
    <row r="48" spans="1:5" x14ac:dyDescent="0.2">
      <c r="A48" s="3" t="s">
        <v>12</v>
      </c>
      <c r="B48" s="3">
        <v>15601.1685</v>
      </c>
      <c r="C48" s="3">
        <v>46</v>
      </c>
      <c r="D48" s="3"/>
      <c r="E48" s="3"/>
    </row>
    <row r="49" spans="1:5" x14ac:dyDescent="0.2">
      <c r="A49" s="3" t="s">
        <v>12</v>
      </c>
      <c r="B49" s="3">
        <v>15946.215899999999</v>
      </c>
      <c r="C49" s="3">
        <v>47</v>
      </c>
      <c r="D49" s="3"/>
      <c r="E49" s="3"/>
    </row>
    <row r="50" spans="1:5" x14ac:dyDescent="0.2">
      <c r="A50" s="3" t="s">
        <v>15</v>
      </c>
      <c r="B50" s="3">
        <v>16251.2572</v>
      </c>
      <c r="C50" s="3">
        <v>48</v>
      </c>
      <c r="D50" s="3"/>
      <c r="E50" s="3"/>
    </row>
    <row r="51" spans="1:5" x14ac:dyDescent="0.2">
      <c r="A51" s="3" t="s">
        <v>12</v>
      </c>
      <c r="B51" s="3">
        <v>16596.304599999999</v>
      </c>
      <c r="C51" s="3">
        <v>49</v>
      </c>
      <c r="D51" s="3"/>
      <c r="E51" s="3"/>
    </row>
    <row r="52" spans="1:5" x14ac:dyDescent="0.2">
      <c r="A52" s="3" t="s">
        <v>15</v>
      </c>
      <c r="B52" s="3">
        <v>16901.3459</v>
      </c>
      <c r="C52" s="3">
        <v>50</v>
      </c>
      <c r="D52" s="3"/>
      <c r="E52" s="3"/>
    </row>
    <row r="53" spans="1:5" x14ac:dyDescent="0.2">
      <c r="A53" s="3" t="s">
        <v>15</v>
      </c>
      <c r="B53" s="3">
        <v>17206.387200000001</v>
      </c>
      <c r="C53" s="3">
        <v>51</v>
      </c>
      <c r="D53" s="3"/>
      <c r="E53" s="3"/>
    </row>
    <row r="54" spans="1:5" x14ac:dyDescent="0.2">
      <c r="A54" s="3" t="s">
        <v>12</v>
      </c>
      <c r="B54" s="3">
        <v>17551.434600000001</v>
      </c>
      <c r="C54" s="3">
        <v>52</v>
      </c>
      <c r="D54" s="3"/>
      <c r="E54" s="3"/>
    </row>
    <row r="55" spans="1:5" x14ac:dyDescent="0.2">
      <c r="A55" s="3" t="s">
        <v>15</v>
      </c>
      <c r="B55" s="3">
        <v>17856.475900000001</v>
      </c>
      <c r="C55" s="3">
        <v>53</v>
      </c>
      <c r="D55" s="3"/>
      <c r="E55" s="3"/>
    </row>
    <row r="56" spans="1:5" x14ac:dyDescent="0.2">
      <c r="A56" s="3" t="s">
        <v>15</v>
      </c>
      <c r="B56" s="3">
        <v>18161.517199999998</v>
      </c>
      <c r="C56" s="3">
        <v>54</v>
      </c>
      <c r="D56" s="3"/>
      <c r="E56" s="3"/>
    </row>
    <row r="57" spans="1:5" x14ac:dyDescent="0.2">
      <c r="A57" s="3" t="s">
        <v>10</v>
      </c>
      <c r="B57" s="3">
        <v>18490.5697</v>
      </c>
      <c r="C57" s="3">
        <v>55</v>
      </c>
      <c r="D57" s="3"/>
      <c r="E57" s="3"/>
    </row>
    <row r="58" spans="1:5" x14ac:dyDescent="0.2">
      <c r="A58" s="3" t="s">
        <v>15</v>
      </c>
      <c r="B58" s="3">
        <v>18795.611000000001</v>
      </c>
      <c r="C58" s="3">
        <v>56</v>
      </c>
      <c r="D58" s="3"/>
      <c r="E58" s="3"/>
    </row>
    <row r="59" spans="1:5" x14ac:dyDescent="0.2">
      <c r="A59" s="3" t="s">
        <v>15</v>
      </c>
      <c r="B59" s="3">
        <v>19100.652300000002</v>
      </c>
      <c r="C59" s="3">
        <v>57</v>
      </c>
      <c r="D59" s="3"/>
      <c r="E59" s="3"/>
    </row>
    <row r="60" spans="1:5" x14ac:dyDescent="0.2">
      <c r="A60" s="3" t="s">
        <v>10</v>
      </c>
      <c r="B60" s="3">
        <v>19429.7048</v>
      </c>
      <c r="C60" s="3">
        <v>58</v>
      </c>
      <c r="D60" s="3"/>
      <c r="E60" s="3"/>
    </row>
    <row r="61" spans="1:5" x14ac:dyDescent="0.2">
      <c r="A61" s="3" t="s">
        <v>14</v>
      </c>
      <c r="B61" s="3">
        <v>19735.730100000001</v>
      </c>
      <c r="C61" s="3">
        <v>59</v>
      </c>
      <c r="D61" s="3"/>
      <c r="E61" s="3"/>
    </row>
    <row r="62" spans="1:5" x14ac:dyDescent="0.2">
      <c r="A62" s="3" t="s">
        <v>12</v>
      </c>
      <c r="B62" s="3">
        <v>20080.7775</v>
      </c>
      <c r="C62" s="3">
        <v>60</v>
      </c>
      <c r="D62" s="3"/>
      <c r="E62" s="3"/>
    </row>
    <row r="63" spans="1:5" x14ac:dyDescent="0.2">
      <c r="A63" s="3" t="s">
        <v>12</v>
      </c>
      <c r="B63" s="3">
        <v>20425.8249</v>
      </c>
      <c r="C63" s="3">
        <v>61</v>
      </c>
      <c r="D63" s="3"/>
      <c r="E63" s="3"/>
    </row>
    <row r="64" spans="1:5" x14ac:dyDescent="0.2">
      <c r="A64" s="3" t="s">
        <v>10</v>
      </c>
      <c r="B64" s="3">
        <v>20754.877400000001</v>
      </c>
      <c r="C64" s="3">
        <v>62</v>
      </c>
      <c r="D64" s="3"/>
      <c r="E64" s="3"/>
    </row>
    <row r="65" spans="1:5" x14ac:dyDescent="0.2">
      <c r="A65" s="3" t="s">
        <v>10</v>
      </c>
      <c r="B65" s="3">
        <v>21083.929899999999</v>
      </c>
      <c r="C65" s="3">
        <v>63</v>
      </c>
      <c r="D65" s="3"/>
      <c r="E65" s="3"/>
    </row>
    <row r="66" spans="1:5" x14ac:dyDescent="0.2">
      <c r="A66" s="3" t="s">
        <v>12</v>
      </c>
      <c r="B66" s="3">
        <v>21428.977299999999</v>
      </c>
      <c r="C66" s="3">
        <v>64</v>
      </c>
      <c r="D66" s="3"/>
      <c r="E66" s="3"/>
    </row>
    <row r="67" spans="1:5" x14ac:dyDescent="0.2">
      <c r="A67" s="3" t="s">
        <v>10</v>
      </c>
      <c r="B67" s="3">
        <v>21758.0298</v>
      </c>
      <c r="C67" s="3">
        <v>65</v>
      </c>
      <c r="D67" s="3"/>
      <c r="E67" s="3"/>
    </row>
    <row r="68" spans="1:5" x14ac:dyDescent="0.2">
      <c r="A68" s="3" t="s">
        <v>15</v>
      </c>
      <c r="B68" s="3">
        <v>22063.071100000001</v>
      </c>
      <c r="C68" s="3">
        <v>66</v>
      </c>
      <c r="D68" s="3"/>
      <c r="E68" s="3"/>
    </row>
    <row r="69" spans="1:5" x14ac:dyDescent="0.2">
      <c r="A69" s="3" t="s">
        <v>12</v>
      </c>
      <c r="B69" s="3">
        <v>22408.1185</v>
      </c>
      <c r="C69" s="3">
        <v>67</v>
      </c>
      <c r="D69" s="3"/>
      <c r="E69" s="3"/>
    </row>
    <row r="70" spans="1:5" x14ac:dyDescent="0.2">
      <c r="A70" s="3" t="s">
        <v>15</v>
      </c>
      <c r="B70" s="3">
        <v>22713.159800000001</v>
      </c>
      <c r="C70" s="3">
        <v>68</v>
      </c>
      <c r="D70" s="3"/>
      <c r="E70" s="3"/>
    </row>
    <row r="71" spans="1:5" x14ac:dyDescent="0.2">
      <c r="A71" s="3" t="s">
        <v>15</v>
      </c>
      <c r="B71" s="3">
        <v>23018.201099999998</v>
      </c>
      <c r="C71" s="3">
        <v>69</v>
      </c>
      <c r="D71" s="3"/>
      <c r="E71" s="3"/>
    </row>
    <row r="72" spans="1:5" x14ac:dyDescent="0.2">
      <c r="A72" s="3" t="s">
        <v>10</v>
      </c>
      <c r="B72" s="3">
        <v>23347.2536</v>
      </c>
      <c r="C72" s="3">
        <v>70</v>
      </c>
      <c r="D72" s="3"/>
      <c r="E72" s="3"/>
    </row>
    <row r="73" spans="1:5" x14ac:dyDescent="0.2">
      <c r="A73" s="3" t="s">
        <v>10</v>
      </c>
      <c r="B73" s="3">
        <v>23676.306100000002</v>
      </c>
      <c r="C73" s="3">
        <v>71</v>
      </c>
      <c r="D73" s="3"/>
      <c r="E73" s="3"/>
    </row>
    <row r="74" spans="1:5" x14ac:dyDescent="0.2">
      <c r="A74" s="3" t="s">
        <v>10</v>
      </c>
      <c r="B74" s="3">
        <v>24005.3586</v>
      </c>
      <c r="C74" s="3">
        <v>72</v>
      </c>
      <c r="D74" s="3"/>
      <c r="E74" s="3"/>
    </row>
    <row r="75" spans="1:5" x14ac:dyDescent="0.2">
      <c r="A75" s="3" t="s">
        <v>10</v>
      </c>
      <c r="B75" s="3">
        <v>24334.411100000001</v>
      </c>
      <c r="C75" s="3">
        <v>73</v>
      </c>
      <c r="D75" s="3"/>
      <c r="E7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28E4C-5004-E748-9A4F-ED17CD99C0DE}">
  <dimension ref="A1:Q75"/>
  <sheetViews>
    <sheetView workbookViewId="0">
      <selection activeCell="F14" sqref="F14"/>
    </sheetView>
  </sheetViews>
  <sheetFormatPr baseColWidth="10" defaultRowHeight="16" x14ac:dyDescent="0.2"/>
  <cols>
    <col min="1" max="1" width="9.83203125" style="2" bestFit="1" customWidth="1"/>
    <col min="2" max="2" width="14.33203125" style="2" bestFit="1" customWidth="1"/>
    <col min="3" max="3" width="9.33203125" style="2" bestFit="1" customWidth="1"/>
    <col min="4" max="5" width="10.83203125" style="2"/>
    <col min="6" max="6" width="9.83203125" style="2" bestFit="1" customWidth="1"/>
    <col min="7" max="7" width="14.33203125" style="2" bestFit="1" customWidth="1"/>
    <col min="8" max="8" width="9.33203125" style="2" bestFit="1" customWidth="1"/>
    <col min="9" max="9" width="16.5" style="2" bestFit="1" customWidth="1"/>
    <col min="10" max="10" width="12" style="2" bestFit="1" customWidth="1"/>
    <col min="11" max="11" width="12.1640625" style="2" bestFit="1" customWidth="1"/>
    <col min="12" max="12" width="16.6640625" style="2" bestFit="1" customWidth="1"/>
    <col min="13" max="13" width="11.5" style="2" bestFit="1" customWidth="1"/>
    <col min="14" max="14" width="12.1640625" style="2" bestFit="1" customWidth="1"/>
    <col min="15" max="15" width="9.33203125" style="2" bestFit="1" customWidth="1"/>
    <col min="16" max="17" width="10.83203125" style="2"/>
  </cols>
  <sheetData>
    <row r="1" spans="1:15" x14ac:dyDescent="0.2">
      <c r="A1" s="1" t="s">
        <v>0</v>
      </c>
      <c r="B1" s="1" t="s">
        <v>1</v>
      </c>
      <c r="C1" s="1" t="s">
        <v>2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</row>
    <row r="2" spans="1:15" x14ac:dyDescent="0.2">
      <c r="A2" s="5" t="s">
        <v>16</v>
      </c>
      <c r="B2" s="3">
        <v>536.96040000000005</v>
      </c>
      <c r="C2" s="3">
        <v>0</v>
      </c>
      <c r="D2" s="3"/>
      <c r="E2" s="3"/>
      <c r="F2" s="4" t="s">
        <v>10</v>
      </c>
      <c r="G2" s="4">
        <v>2587.2914599999999</v>
      </c>
      <c r="H2" s="4">
        <v>6</v>
      </c>
      <c r="I2" s="4">
        <v>2587.3137623872299</v>
      </c>
      <c r="J2" s="4">
        <v>7657.32</v>
      </c>
      <c r="K2" s="4">
        <v>1.1671789502779599</v>
      </c>
      <c r="L2" s="4">
        <v>7.0810093966854901E-3</v>
      </c>
      <c r="M2" s="4" t="s">
        <v>11</v>
      </c>
      <c r="N2" s="4">
        <v>3.8840767966734502</v>
      </c>
      <c r="O2" s="4">
        <v>6</v>
      </c>
    </row>
    <row r="3" spans="1:15" x14ac:dyDescent="0.2">
      <c r="A3" s="5" t="s">
        <v>18</v>
      </c>
      <c r="B3" s="3">
        <v>896.02350000000001</v>
      </c>
      <c r="C3" s="3">
        <v>1</v>
      </c>
      <c r="D3" s="3"/>
      <c r="E3" s="3"/>
      <c r="F3" s="4" t="s">
        <v>14</v>
      </c>
      <c r="G3" s="4">
        <v>2893.3167600000002</v>
      </c>
      <c r="H3" s="4">
        <v>7</v>
      </c>
      <c r="I3" s="4">
        <v>2893.3349830334801</v>
      </c>
      <c r="J3" s="4">
        <v>1305.6300000000001</v>
      </c>
      <c r="K3" s="4">
        <v>1.8338547006924999</v>
      </c>
      <c r="L3" s="4">
        <v>1.20736475667655E-3</v>
      </c>
      <c r="M3" s="4" t="s">
        <v>11</v>
      </c>
      <c r="N3" s="4">
        <v>3.1158201204882001</v>
      </c>
      <c r="O3" s="4">
        <v>7</v>
      </c>
    </row>
    <row r="4" spans="1:15" x14ac:dyDescent="0.2">
      <c r="A4" s="5" t="s">
        <v>18</v>
      </c>
      <c r="B4" s="3">
        <v>1255.0866000000001</v>
      </c>
      <c r="C4" s="3">
        <v>2</v>
      </c>
      <c r="D4" s="3"/>
      <c r="E4" s="3"/>
      <c r="F4" s="4" t="s">
        <v>10</v>
      </c>
      <c r="G4" s="4">
        <v>3222.3692599999999</v>
      </c>
      <c r="H4" s="4">
        <v>8</v>
      </c>
      <c r="I4" s="4">
        <v>3222.3794860283801</v>
      </c>
      <c r="J4" s="4">
        <v>1746.97</v>
      </c>
      <c r="K4" s="4">
        <v>3.6839042679150902</v>
      </c>
      <c r="L4" s="4">
        <v>1.61548831519744E-3</v>
      </c>
      <c r="M4" s="4" t="s">
        <v>11</v>
      </c>
      <c r="N4" s="4">
        <v>3.2422854470857798</v>
      </c>
      <c r="O4" s="4">
        <v>8</v>
      </c>
    </row>
    <row r="5" spans="1:15" x14ac:dyDescent="0.2">
      <c r="A5" s="5" t="s">
        <v>12</v>
      </c>
      <c r="B5" s="3">
        <v>1600.134</v>
      </c>
      <c r="C5" s="3">
        <v>3</v>
      </c>
      <c r="D5" s="3"/>
      <c r="E5" s="3"/>
      <c r="F5" s="4" t="s">
        <v>12</v>
      </c>
      <c r="G5" s="4">
        <v>5244.66896</v>
      </c>
      <c r="H5" s="4">
        <v>14</v>
      </c>
      <c r="I5" s="4">
        <v>5244.6839953384697</v>
      </c>
      <c r="J5" s="4">
        <v>3586.16</v>
      </c>
      <c r="K5" s="4">
        <v>8.0041391586939508</v>
      </c>
      <c r="L5" s="4">
        <v>3.3162559038955701E-3</v>
      </c>
      <c r="M5" s="4" t="s">
        <v>11</v>
      </c>
      <c r="N5" s="4">
        <v>3.55462966212716</v>
      </c>
      <c r="O5" s="4">
        <v>14</v>
      </c>
    </row>
    <row r="6" spans="1:15" x14ac:dyDescent="0.2">
      <c r="A6" s="3" t="s">
        <v>10</v>
      </c>
      <c r="B6" s="3">
        <v>1929.1865</v>
      </c>
      <c r="C6" s="3">
        <v>4</v>
      </c>
      <c r="D6" s="3"/>
      <c r="E6" s="3"/>
      <c r="F6" s="4" t="s">
        <v>10</v>
      </c>
      <c r="G6" s="4">
        <v>11206.550660000001</v>
      </c>
      <c r="H6" s="4">
        <v>32</v>
      </c>
      <c r="I6" s="4">
        <v>11206.456516906201</v>
      </c>
      <c r="J6" s="4">
        <v>2168.9699999999998</v>
      </c>
      <c r="K6" s="4">
        <v>11.8491087094625</v>
      </c>
      <c r="L6" s="4">
        <v>2.0057274544003499E-3</v>
      </c>
      <c r="M6" s="4" t="s">
        <v>13</v>
      </c>
      <c r="N6" s="4">
        <v>3.3362535451333399</v>
      </c>
      <c r="O6" s="4">
        <v>32</v>
      </c>
    </row>
    <row r="7" spans="1:15" x14ac:dyDescent="0.2">
      <c r="A7" s="3" t="s">
        <v>10</v>
      </c>
      <c r="B7" s="3">
        <v>2258.239</v>
      </c>
      <c r="C7" s="3">
        <v>5</v>
      </c>
      <c r="D7" s="3"/>
      <c r="E7" s="3"/>
      <c r="F7" s="4" t="s">
        <v>14</v>
      </c>
      <c r="G7" s="4">
        <v>12805.758760000001</v>
      </c>
      <c r="H7" s="4">
        <v>37</v>
      </c>
      <c r="I7" s="4">
        <v>12805.6778498126</v>
      </c>
      <c r="J7" s="4">
        <v>35326.92</v>
      </c>
      <c r="K7" s="4">
        <v>12.5726458505472</v>
      </c>
      <c r="L7" s="4">
        <v>3.2668120501161801E-2</v>
      </c>
      <c r="M7" s="4" t="s">
        <v>13</v>
      </c>
      <c r="N7" s="4">
        <v>4.5481057748445997</v>
      </c>
      <c r="O7" s="4">
        <v>37</v>
      </c>
    </row>
    <row r="8" spans="1:15" x14ac:dyDescent="0.2">
      <c r="A8" s="3" t="s">
        <v>10</v>
      </c>
      <c r="B8" s="3">
        <v>2587.2914999999998</v>
      </c>
      <c r="C8" s="3">
        <v>6</v>
      </c>
      <c r="D8" s="3"/>
      <c r="E8" s="3"/>
      <c r="F8" s="4" t="s">
        <v>10</v>
      </c>
      <c r="G8" s="4">
        <v>13134.81126</v>
      </c>
      <c r="H8" s="4">
        <v>38</v>
      </c>
      <c r="I8" s="4">
        <v>13134.7481845681</v>
      </c>
      <c r="J8" s="4">
        <v>34009.72</v>
      </c>
      <c r="K8" s="4">
        <v>12.6872850413799</v>
      </c>
      <c r="L8" s="4">
        <v>3.14500565339626E-2</v>
      </c>
      <c r="M8" s="4" t="s">
        <v>13</v>
      </c>
      <c r="N8" s="4">
        <v>4.5316030564268299</v>
      </c>
      <c r="O8" s="4">
        <v>38</v>
      </c>
    </row>
    <row r="9" spans="1:15" x14ac:dyDescent="0.2">
      <c r="A9" s="3" t="s">
        <v>14</v>
      </c>
      <c r="B9" s="3">
        <v>2893.3168000000001</v>
      </c>
      <c r="C9" s="3">
        <v>7</v>
      </c>
      <c r="D9" s="3"/>
      <c r="E9" s="3"/>
      <c r="F9" s="4" t="s">
        <v>10</v>
      </c>
      <c r="G9" s="4">
        <v>13463.86376</v>
      </c>
      <c r="H9" s="4">
        <v>39</v>
      </c>
      <c r="I9" s="4">
        <v>13463.813289407801</v>
      </c>
      <c r="J9" s="4">
        <v>16498.46</v>
      </c>
      <c r="K9" s="4">
        <v>12.805890792179101</v>
      </c>
      <c r="L9" s="4">
        <v>1.5256741299937799E-2</v>
      </c>
      <c r="M9" s="4" t="s">
        <v>13</v>
      </c>
      <c r="N9" s="4">
        <v>4.2174434081705501</v>
      </c>
      <c r="O9" s="4">
        <v>39</v>
      </c>
    </row>
    <row r="10" spans="1:15" x14ac:dyDescent="0.2">
      <c r="A10" s="3" t="s">
        <v>10</v>
      </c>
      <c r="B10" s="3">
        <v>3222.3692999999998</v>
      </c>
      <c r="C10" s="3">
        <v>8</v>
      </c>
      <c r="D10" s="3"/>
      <c r="E10" s="3"/>
      <c r="F10" s="4" t="s">
        <v>15</v>
      </c>
      <c r="G10" s="4">
        <v>15358.128860000001</v>
      </c>
      <c r="H10" s="4">
        <v>45</v>
      </c>
      <c r="I10" s="4">
        <v>15358.045342253199</v>
      </c>
      <c r="J10" s="4">
        <v>2516.02</v>
      </c>
      <c r="K10" s="4">
        <v>12.838251274395001</v>
      </c>
      <c r="L10" s="4">
        <v>2.3266575332164001E-3</v>
      </c>
      <c r="M10" s="4" t="s">
        <v>13</v>
      </c>
      <c r="N10" s="4">
        <v>3.40071408902089</v>
      </c>
      <c r="O10" s="4">
        <v>45</v>
      </c>
    </row>
    <row r="11" spans="1:15" x14ac:dyDescent="0.2">
      <c r="A11" s="3" t="s">
        <v>10</v>
      </c>
      <c r="B11" s="3">
        <v>3551.4218000000001</v>
      </c>
      <c r="C11" s="3">
        <v>9</v>
      </c>
      <c r="D11" s="3"/>
      <c r="E11" s="3"/>
    </row>
    <row r="12" spans="1:15" x14ac:dyDescent="0.2">
      <c r="A12" s="3" t="s">
        <v>12</v>
      </c>
      <c r="B12" s="3">
        <v>3896.4692</v>
      </c>
      <c r="C12" s="3">
        <v>10</v>
      </c>
      <c r="D12" s="3"/>
      <c r="E12" s="3"/>
    </row>
    <row r="13" spans="1:15" x14ac:dyDescent="0.2">
      <c r="A13" s="3" t="s">
        <v>10</v>
      </c>
      <c r="B13" s="3">
        <v>4225.5217000000002</v>
      </c>
      <c r="C13" s="3">
        <v>11</v>
      </c>
      <c r="D13" s="3"/>
      <c r="E13" s="3"/>
      <c r="F13" s="6" t="s">
        <v>21</v>
      </c>
    </row>
    <row r="14" spans="1:15" x14ac:dyDescent="0.2">
      <c r="A14" s="3" t="s">
        <v>12</v>
      </c>
      <c r="B14" s="3">
        <v>4570.5690999999997</v>
      </c>
      <c r="C14" s="3">
        <v>12</v>
      </c>
      <c r="D14" s="3"/>
      <c r="E14" s="3"/>
      <c r="F14" s="6">
        <f>9/73*100</f>
        <v>12.328767123287671</v>
      </c>
    </row>
    <row r="15" spans="1:15" x14ac:dyDescent="0.2">
      <c r="A15" s="3" t="s">
        <v>10</v>
      </c>
      <c r="B15" s="3">
        <v>4899.6216000000004</v>
      </c>
      <c r="C15" s="3">
        <v>13</v>
      </c>
      <c r="D15" s="3"/>
      <c r="E15" s="3"/>
    </row>
    <row r="16" spans="1:15" x14ac:dyDescent="0.2">
      <c r="A16" s="3" t="s">
        <v>12</v>
      </c>
      <c r="B16" s="3">
        <v>5244.6689999999999</v>
      </c>
      <c r="C16" s="3">
        <v>14</v>
      </c>
      <c r="D16" s="3"/>
      <c r="E16" s="3"/>
    </row>
    <row r="17" spans="1:5" x14ac:dyDescent="0.2">
      <c r="A17" s="3" t="s">
        <v>10</v>
      </c>
      <c r="B17" s="3">
        <v>5573.7214999999997</v>
      </c>
      <c r="C17" s="3">
        <v>15</v>
      </c>
      <c r="D17" s="3"/>
      <c r="E17" s="3"/>
    </row>
    <row r="18" spans="1:5" x14ac:dyDescent="0.2">
      <c r="A18" s="3" t="s">
        <v>10</v>
      </c>
      <c r="B18" s="3">
        <v>5902.7740000000003</v>
      </c>
      <c r="C18" s="3">
        <v>16</v>
      </c>
      <c r="D18" s="3"/>
      <c r="E18" s="3"/>
    </row>
    <row r="19" spans="1:5" x14ac:dyDescent="0.2">
      <c r="A19" s="3" t="s">
        <v>10</v>
      </c>
      <c r="B19" s="3">
        <v>6231.8265000000001</v>
      </c>
      <c r="C19" s="3">
        <v>17</v>
      </c>
      <c r="D19" s="3"/>
      <c r="E19" s="3"/>
    </row>
    <row r="20" spans="1:5" x14ac:dyDescent="0.2">
      <c r="A20" s="3" t="s">
        <v>10</v>
      </c>
      <c r="B20" s="3">
        <v>6560.8789999999999</v>
      </c>
      <c r="C20" s="3">
        <v>18</v>
      </c>
      <c r="D20" s="3"/>
      <c r="E20" s="3"/>
    </row>
    <row r="21" spans="1:5" x14ac:dyDescent="0.2">
      <c r="A21" s="3" t="s">
        <v>12</v>
      </c>
      <c r="B21" s="3">
        <v>6905.9264000000003</v>
      </c>
      <c r="C21" s="3">
        <v>19</v>
      </c>
      <c r="D21" s="3"/>
      <c r="E21" s="3"/>
    </row>
    <row r="22" spans="1:5" x14ac:dyDescent="0.2">
      <c r="A22" s="3" t="s">
        <v>10</v>
      </c>
      <c r="B22" s="3">
        <v>7234.9789000000001</v>
      </c>
      <c r="C22" s="3">
        <v>20</v>
      </c>
      <c r="D22" s="3"/>
      <c r="E22" s="3"/>
    </row>
    <row r="23" spans="1:5" x14ac:dyDescent="0.2">
      <c r="A23" s="3" t="s">
        <v>10</v>
      </c>
      <c r="B23" s="3">
        <v>7564.0313999999998</v>
      </c>
      <c r="C23" s="3">
        <v>21</v>
      </c>
      <c r="D23" s="3"/>
      <c r="E23" s="3"/>
    </row>
    <row r="24" spans="1:5" x14ac:dyDescent="0.2">
      <c r="A24" s="3" t="s">
        <v>12</v>
      </c>
      <c r="B24" s="3">
        <v>7909.0788000000002</v>
      </c>
      <c r="C24" s="3">
        <v>22</v>
      </c>
      <c r="D24" s="3"/>
      <c r="E24" s="3"/>
    </row>
    <row r="25" spans="1:5" x14ac:dyDescent="0.2">
      <c r="A25" s="3" t="s">
        <v>10</v>
      </c>
      <c r="B25" s="3">
        <v>8238.1312999999991</v>
      </c>
      <c r="C25" s="3">
        <v>23</v>
      </c>
      <c r="D25" s="3"/>
      <c r="E25" s="3"/>
    </row>
    <row r="26" spans="1:5" x14ac:dyDescent="0.2">
      <c r="A26" s="3" t="s">
        <v>12</v>
      </c>
      <c r="B26" s="3">
        <v>8583.1787000000004</v>
      </c>
      <c r="C26" s="3">
        <v>24</v>
      </c>
      <c r="D26" s="3"/>
      <c r="E26" s="3"/>
    </row>
    <row r="27" spans="1:5" x14ac:dyDescent="0.2">
      <c r="A27" s="3" t="s">
        <v>14</v>
      </c>
      <c r="B27" s="3">
        <v>8889.2039999999997</v>
      </c>
      <c r="C27" s="3">
        <v>25</v>
      </c>
      <c r="D27" s="3"/>
      <c r="E27" s="3"/>
    </row>
    <row r="28" spans="1:5" x14ac:dyDescent="0.2">
      <c r="A28" s="3" t="s">
        <v>10</v>
      </c>
      <c r="B28" s="3">
        <v>9218.2564999999995</v>
      </c>
      <c r="C28" s="3">
        <v>26</v>
      </c>
      <c r="D28" s="3"/>
      <c r="E28" s="3"/>
    </row>
    <row r="29" spans="1:5" x14ac:dyDescent="0.2">
      <c r="A29" s="3" t="s">
        <v>10</v>
      </c>
      <c r="B29" s="3">
        <v>9547.3089999999993</v>
      </c>
      <c r="C29" s="3">
        <v>27</v>
      </c>
      <c r="D29" s="3"/>
      <c r="E29" s="3"/>
    </row>
    <row r="30" spans="1:5" x14ac:dyDescent="0.2">
      <c r="A30" s="3" t="s">
        <v>12</v>
      </c>
      <c r="B30" s="3">
        <v>9892.3564000000006</v>
      </c>
      <c r="C30" s="3">
        <v>28</v>
      </c>
      <c r="D30" s="3"/>
      <c r="E30" s="3"/>
    </row>
    <row r="31" spans="1:5" x14ac:dyDescent="0.2">
      <c r="A31" s="3" t="s">
        <v>10</v>
      </c>
      <c r="B31" s="3">
        <v>10221.4089</v>
      </c>
      <c r="C31" s="3">
        <v>29</v>
      </c>
      <c r="D31" s="3"/>
      <c r="E31" s="3"/>
    </row>
    <row r="32" spans="1:5" x14ac:dyDescent="0.2">
      <c r="A32" s="3" t="s">
        <v>10</v>
      </c>
      <c r="B32" s="3">
        <v>10550.4614</v>
      </c>
      <c r="C32" s="3">
        <v>30</v>
      </c>
      <c r="D32" s="3"/>
      <c r="E32" s="3"/>
    </row>
    <row r="33" spans="1:5" x14ac:dyDescent="0.2">
      <c r="A33" s="3" t="s">
        <v>12</v>
      </c>
      <c r="B33" s="3">
        <v>10895.5088</v>
      </c>
      <c r="C33" s="3">
        <v>31</v>
      </c>
      <c r="D33" s="3"/>
      <c r="E33" s="3"/>
    </row>
    <row r="34" spans="1:5" x14ac:dyDescent="0.2">
      <c r="A34" s="3" t="s">
        <v>10</v>
      </c>
      <c r="B34" s="3">
        <v>11224.561299999999</v>
      </c>
      <c r="C34" s="3">
        <v>32</v>
      </c>
      <c r="D34" s="3"/>
      <c r="E34" s="3"/>
    </row>
    <row r="35" spans="1:5" x14ac:dyDescent="0.2">
      <c r="A35" s="3" t="s">
        <v>10</v>
      </c>
      <c r="B35" s="3">
        <v>11553.613799999999</v>
      </c>
      <c r="C35" s="3">
        <v>33</v>
      </c>
      <c r="D35" s="3"/>
      <c r="E35" s="3"/>
    </row>
    <row r="36" spans="1:5" x14ac:dyDescent="0.2">
      <c r="A36" s="3" t="s">
        <v>10</v>
      </c>
      <c r="B36" s="3">
        <v>11882.666300000001</v>
      </c>
      <c r="C36" s="3">
        <v>34</v>
      </c>
      <c r="D36" s="3"/>
      <c r="E36" s="3"/>
    </row>
    <row r="37" spans="1:5" x14ac:dyDescent="0.2">
      <c r="A37" s="3" t="s">
        <v>14</v>
      </c>
      <c r="B37" s="3">
        <v>12188.6916</v>
      </c>
      <c r="C37" s="3">
        <v>35</v>
      </c>
      <c r="D37" s="3"/>
      <c r="E37" s="3"/>
    </row>
    <row r="38" spans="1:5" x14ac:dyDescent="0.2">
      <c r="A38" s="3" t="s">
        <v>10</v>
      </c>
      <c r="B38" s="3">
        <v>12517.7441</v>
      </c>
      <c r="C38" s="3">
        <v>36</v>
      </c>
      <c r="D38" s="3"/>
      <c r="E38" s="3"/>
    </row>
    <row r="39" spans="1:5" x14ac:dyDescent="0.2">
      <c r="A39" s="3" t="s">
        <v>14</v>
      </c>
      <c r="B39" s="3">
        <v>12823.769399999999</v>
      </c>
      <c r="C39" s="3">
        <v>37</v>
      </c>
      <c r="D39" s="3"/>
      <c r="E39" s="3"/>
    </row>
    <row r="40" spans="1:5" x14ac:dyDescent="0.2">
      <c r="A40" s="3" t="s">
        <v>10</v>
      </c>
      <c r="B40" s="3">
        <v>13152.821900000001</v>
      </c>
      <c r="C40" s="3">
        <v>38</v>
      </c>
      <c r="D40" s="3"/>
      <c r="E40" s="3"/>
    </row>
    <row r="41" spans="1:5" x14ac:dyDescent="0.2">
      <c r="A41" s="3" t="s">
        <v>10</v>
      </c>
      <c r="B41" s="3">
        <v>13481.874400000001</v>
      </c>
      <c r="C41" s="3">
        <v>39</v>
      </c>
      <c r="D41" s="3"/>
      <c r="E41" s="3"/>
    </row>
    <row r="42" spans="1:5" x14ac:dyDescent="0.2">
      <c r="A42" s="3" t="s">
        <v>12</v>
      </c>
      <c r="B42" s="3">
        <v>13826.9218</v>
      </c>
      <c r="C42" s="3">
        <v>40</v>
      </c>
      <c r="D42" s="3"/>
      <c r="E42" s="3"/>
    </row>
    <row r="43" spans="1:5" x14ac:dyDescent="0.2">
      <c r="A43" s="3" t="s">
        <v>10</v>
      </c>
      <c r="B43" s="3">
        <v>14155.9743</v>
      </c>
      <c r="C43" s="3">
        <v>41</v>
      </c>
      <c r="D43" s="3"/>
      <c r="E43" s="3"/>
    </row>
    <row r="44" spans="1:5" x14ac:dyDescent="0.2">
      <c r="A44" s="3" t="s">
        <v>15</v>
      </c>
      <c r="B44" s="3">
        <v>14461.015600000001</v>
      </c>
      <c r="C44" s="3">
        <v>42</v>
      </c>
      <c r="D44" s="3"/>
      <c r="E44" s="3"/>
    </row>
    <row r="45" spans="1:5" x14ac:dyDescent="0.2">
      <c r="A45" s="3" t="s">
        <v>15</v>
      </c>
      <c r="B45" s="3">
        <v>14766.0569</v>
      </c>
      <c r="C45" s="3">
        <v>43</v>
      </c>
      <c r="D45" s="3"/>
      <c r="E45" s="3"/>
    </row>
    <row r="46" spans="1:5" x14ac:dyDescent="0.2">
      <c r="A46" s="3" t="s">
        <v>15</v>
      </c>
      <c r="B46" s="3">
        <v>15071.0982</v>
      </c>
      <c r="C46" s="3">
        <v>44</v>
      </c>
      <c r="D46" s="3"/>
      <c r="E46" s="3"/>
    </row>
    <row r="47" spans="1:5" x14ac:dyDescent="0.2">
      <c r="A47" s="3" t="s">
        <v>15</v>
      </c>
      <c r="B47" s="3">
        <v>15376.139499999999</v>
      </c>
      <c r="C47" s="3">
        <v>45</v>
      </c>
      <c r="D47" s="3"/>
      <c r="E47" s="3"/>
    </row>
    <row r="48" spans="1:5" x14ac:dyDescent="0.2">
      <c r="A48" s="3" t="s">
        <v>12</v>
      </c>
      <c r="B48" s="3">
        <v>15721.186900000001</v>
      </c>
      <c r="C48" s="3">
        <v>46</v>
      </c>
      <c r="D48" s="3"/>
      <c r="E48" s="3"/>
    </row>
    <row r="49" spans="1:5" x14ac:dyDescent="0.2">
      <c r="A49" s="3" t="s">
        <v>12</v>
      </c>
      <c r="B49" s="3">
        <v>16066.2343</v>
      </c>
      <c r="C49" s="3">
        <v>47</v>
      </c>
      <c r="D49" s="3"/>
      <c r="E49" s="3"/>
    </row>
    <row r="50" spans="1:5" x14ac:dyDescent="0.2">
      <c r="A50" s="3" t="s">
        <v>15</v>
      </c>
      <c r="B50" s="3">
        <v>16371.275600000001</v>
      </c>
      <c r="C50" s="3">
        <v>48</v>
      </c>
      <c r="D50" s="3"/>
      <c r="E50" s="3"/>
    </row>
    <row r="51" spans="1:5" x14ac:dyDescent="0.2">
      <c r="A51" s="3" t="s">
        <v>12</v>
      </c>
      <c r="B51" s="3">
        <v>16716.323</v>
      </c>
      <c r="C51" s="3">
        <v>49</v>
      </c>
      <c r="D51" s="3"/>
      <c r="E51" s="3"/>
    </row>
    <row r="52" spans="1:5" x14ac:dyDescent="0.2">
      <c r="A52" s="3" t="s">
        <v>15</v>
      </c>
      <c r="B52" s="3">
        <v>17021.364300000001</v>
      </c>
      <c r="C52" s="3">
        <v>50</v>
      </c>
      <c r="D52" s="3"/>
      <c r="E52" s="3"/>
    </row>
    <row r="53" spans="1:5" x14ac:dyDescent="0.2">
      <c r="A53" s="3" t="s">
        <v>15</v>
      </c>
      <c r="B53" s="3">
        <v>17326.405599999998</v>
      </c>
      <c r="C53" s="3">
        <v>51</v>
      </c>
      <c r="D53" s="3"/>
      <c r="E53" s="3"/>
    </row>
    <row r="54" spans="1:5" x14ac:dyDescent="0.2">
      <c r="A54" s="3" t="s">
        <v>12</v>
      </c>
      <c r="B54" s="3">
        <v>17671.453000000001</v>
      </c>
      <c r="C54" s="3">
        <v>52</v>
      </c>
      <c r="D54" s="3"/>
      <c r="E54" s="3"/>
    </row>
    <row r="55" spans="1:5" x14ac:dyDescent="0.2">
      <c r="A55" s="3" t="s">
        <v>15</v>
      </c>
      <c r="B55" s="3">
        <v>17976.494299999998</v>
      </c>
      <c r="C55" s="3">
        <v>53</v>
      </c>
      <c r="D55" s="3"/>
      <c r="E55" s="3"/>
    </row>
    <row r="56" spans="1:5" x14ac:dyDescent="0.2">
      <c r="A56" s="3" t="s">
        <v>15</v>
      </c>
      <c r="B56" s="3">
        <v>18281.535599999999</v>
      </c>
      <c r="C56" s="3">
        <v>54</v>
      </c>
      <c r="D56" s="3"/>
      <c r="E56" s="3"/>
    </row>
    <row r="57" spans="1:5" x14ac:dyDescent="0.2">
      <c r="A57" s="3" t="s">
        <v>10</v>
      </c>
      <c r="B57" s="3">
        <v>18610.588100000001</v>
      </c>
      <c r="C57" s="3">
        <v>55</v>
      </c>
      <c r="D57" s="3"/>
      <c r="E57" s="3"/>
    </row>
    <row r="58" spans="1:5" x14ac:dyDescent="0.2">
      <c r="A58" s="3" t="s">
        <v>15</v>
      </c>
      <c r="B58" s="3">
        <v>18915.629400000002</v>
      </c>
      <c r="C58" s="3">
        <v>56</v>
      </c>
      <c r="D58" s="3"/>
      <c r="E58" s="3"/>
    </row>
    <row r="59" spans="1:5" x14ac:dyDescent="0.2">
      <c r="A59" s="3" t="s">
        <v>15</v>
      </c>
      <c r="B59" s="3">
        <v>19220.670699999999</v>
      </c>
      <c r="C59" s="3">
        <v>57</v>
      </c>
      <c r="D59" s="3"/>
      <c r="E59" s="3"/>
    </row>
    <row r="60" spans="1:5" x14ac:dyDescent="0.2">
      <c r="A60" s="3" t="s">
        <v>10</v>
      </c>
      <c r="B60" s="3">
        <v>19549.7232</v>
      </c>
      <c r="C60" s="3">
        <v>58</v>
      </c>
      <c r="D60" s="3"/>
      <c r="E60" s="3"/>
    </row>
    <row r="61" spans="1:5" x14ac:dyDescent="0.2">
      <c r="A61" s="3" t="s">
        <v>14</v>
      </c>
      <c r="B61" s="3">
        <v>19855.748500000002</v>
      </c>
      <c r="C61" s="3">
        <v>59</v>
      </c>
      <c r="D61" s="3"/>
      <c r="E61" s="3"/>
    </row>
    <row r="62" spans="1:5" x14ac:dyDescent="0.2">
      <c r="A62" s="3" t="s">
        <v>12</v>
      </c>
      <c r="B62" s="3">
        <v>20200.795900000001</v>
      </c>
      <c r="C62" s="3">
        <v>60</v>
      </c>
      <c r="D62" s="3"/>
      <c r="E62" s="3"/>
    </row>
    <row r="63" spans="1:5" x14ac:dyDescent="0.2">
      <c r="A63" s="3" t="s">
        <v>12</v>
      </c>
      <c r="B63" s="3">
        <v>20545.8433</v>
      </c>
      <c r="C63" s="3">
        <v>61</v>
      </c>
      <c r="D63" s="3"/>
      <c r="E63" s="3"/>
    </row>
    <row r="64" spans="1:5" x14ac:dyDescent="0.2">
      <c r="A64" s="3" t="s">
        <v>10</v>
      </c>
      <c r="B64" s="3">
        <v>20874.895799999998</v>
      </c>
      <c r="C64" s="3">
        <v>62</v>
      </c>
      <c r="D64" s="3"/>
      <c r="E64" s="3"/>
    </row>
    <row r="65" spans="1:5" x14ac:dyDescent="0.2">
      <c r="A65" s="3" t="s">
        <v>10</v>
      </c>
      <c r="B65" s="3">
        <v>21203.9483</v>
      </c>
      <c r="C65" s="3">
        <v>63</v>
      </c>
      <c r="D65" s="3"/>
      <c r="E65" s="3"/>
    </row>
    <row r="66" spans="1:5" x14ac:dyDescent="0.2">
      <c r="A66" s="3" t="s">
        <v>12</v>
      </c>
      <c r="B66" s="3">
        <v>21548.995699999999</v>
      </c>
      <c r="C66" s="3">
        <v>64</v>
      </c>
      <c r="D66" s="3"/>
      <c r="E66" s="3"/>
    </row>
    <row r="67" spans="1:5" x14ac:dyDescent="0.2">
      <c r="A67" s="3" t="s">
        <v>10</v>
      </c>
      <c r="B67" s="3">
        <v>21878.048200000001</v>
      </c>
      <c r="C67" s="3">
        <v>65</v>
      </c>
      <c r="D67" s="3"/>
      <c r="E67" s="3"/>
    </row>
    <row r="68" spans="1:5" x14ac:dyDescent="0.2">
      <c r="A68" s="3" t="s">
        <v>15</v>
      </c>
      <c r="B68" s="3">
        <v>22183.089499999998</v>
      </c>
      <c r="C68" s="3">
        <v>66</v>
      </c>
      <c r="D68" s="3"/>
      <c r="E68" s="3"/>
    </row>
    <row r="69" spans="1:5" x14ac:dyDescent="0.2">
      <c r="A69" s="3" t="s">
        <v>12</v>
      </c>
      <c r="B69" s="3">
        <v>22528.136900000001</v>
      </c>
      <c r="C69" s="3">
        <v>67</v>
      </c>
      <c r="D69" s="3"/>
      <c r="E69" s="3"/>
    </row>
    <row r="70" spans="1:5" x14ac:dyDescent="0.2">
      <c r="A70" s="3" t="s">
        <v>15</v>
      </c>
      <c r="B70" s="3">
        <v>22833.178199999998</v>
      </c>
      <c r="C70" s="3">
        <v>68</v>
      </c>
      <c r="D70" s="3"/>
      <c r="E70" s="3"/>
    </row>
    <row r="71" spans="1:5" x14ac:dyDescent="0.2">
      <c r="A71" s="3" t="s">
        <v>15</v>
      </c>
      <c r="B71" s="3">
        <v>23138.219499999999</v>
      </c>
      <c r="C71" s="3">
        <v>69</v>
      </c>
      <c r="D71" s="3"/>
      <c r="E71" s="3"/>
    </row>
    <row r="72" spans="1:5" x14ac:dyDescent="0.2">
      <c r="A72" s="3" t="s">
        <v>10</v>
      </c>
      <c r="B72" s="3">
        <v>23467.272000000001</v>
      </c>
      <c r="C72" s="3">
        <v>70</v>
      </c>
      <c r="D72" s="3"/>
      <c r="E72" s="3"/>
    </row>
    <row r="73" spans="1:5" x14ac:dyDescent="0.2">
      <c r="A73" s="3" t="s">
        <v>10</v>
      </c>
      <c r="B73" s="3">
        <v>23796.324499999999</v>
      </c>
      <c r="C73" s="3">
        <v>71</v>
      </c>
      <c r="D73" s="3"/>
      <c r="E73" s="3"/>
    </row>
    <row r="74" spans="1:5" x14ac:dyDescent="0.2">
      <c r="A74" s="3" t="s">
        <v>10</v>
      </c>
      <c r="B74" s="3">
        <v>24125.377</v>
      </c>
      <c r="C74" s="3">
        <v>72</v>
      </c>
      <c r="D74" s="3"/>
      <c r="E74" s="3"/>
    </row>
    <row r="75" spans="1:5" x14ac:dyDescent="0.2">
      <c r="A75" s="3" t="s">
        <v>10</v>
      </c>
      <c r="B75" s="3">
        <v>24454.429499999998</v>
      </c>
      <c r="C75" s="3">
        <v>73</v>
      </c>
      <c r="D75" s="3"/>
      <c r="E75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A9B90-E050-0B46-BA41-4126A2393A7F}">
  <dimension ref="A1:O75"/>
  <sheetViews>
    <sheetView workbookViewId="0">
      <selection activeCell="F13" sqref="F13"/>
    </sheetView>
  </sheetViews>
  <sheetFormatPr baseColWidth="10" defaultRowHeight="16" x14ac:dyDescent="0.2"/>
  <cols>
    <col min="1" max="1" width="9.83203125" style="2" bestFit="1" customWidth="1"/>
    <col min="2" max="2" width="14.33203125" style="2" bestFit="1" customWidth="1"/>
    <col min="3" max="3" width="9.33203125" style="2" bestFit="1" customWidth="1"/>
    <col min="4" max="5" width="10.83203125" style="2"/>
    <col min="6" max="6" width="9.83203125" style="2" bestFit="1" customWidth="1"/>
    <col min="7" max="7" width="14.33203125" style="2" bestFit="1" customWidth="1"/>
    <col min="8" max="8" width="9.33203125" style="2" bestFit="1" customWidth="1"/>
    <col min="9" max="9" width="16.5" style="2" bestFit="1" customWidth="1"/>
    <col min="10" max="10" width="12" style="2" bestFit="1" customWidth="1"/>
    <col min="11" max="11" width="12.1640625" style="2" bestFit="1" customWidth="1"/>
    <col min="12" max="12" width="16.6640625" style="2" bestFit="1" customWidth="1"/>
    <col min="13" max="13" width="11.5" style="2" bestFit="1" customWidth="1"/>
    <col min="14" max="14" width="12.1640625" style="2" bestFit="1" customWidth="1"/>
    <col min="15" max="15" width="9.33203125" style="2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</row>
    <row r="2" spans="1:15" x14ac:dyDescent="0.2">
      <c r="A2" s="5" t="s">
        <v>16</v>
      </c>
      <c r="B2" s="3">
        <v>536.96040000000005</v>
      </c>
      <c r="C2" s="3">
        <v>0</v>
      </c>
      <c r="D2" s="3"/>
      <c r="E2" s="3"/>
      <c r="F2" s="4" t="s">
        <v>10</v>
      </c>
      <c r="G2" s="4">
        <v>7117.9125000000004</v>
      </c>
      <c r="H2" s="4">
        <v>20</v>
      </c>
      <c r="I2" s="4">
        <v>7117.9468141683301</v>
      </c>
      <c r="J2" s="4">
        <v>23537.77</v>
      </c>
      <c r="K2" s="4">
        <v>9.4448085740884107</v>
      </c>
      <c r="L2" s="4">
        <v>2.1766253799896301E-2</v>
      </c>
      <c r="M2" s="4" t="s">
        <v>11</v>
      </c>
      <c r="N2" s="4">
        <v>4.3717653148128299</v>
      </c>
      <c r="O2" s="4">
        <v>20</v>
      </c>
    </row>
    <row r="3" spans="1:15" x14ac:dyDescent="0.2">
      <c r="A3" s="5" t="s">
        <v>17</v>
      </c>
      <c r="B3" s="3">
        <v>857.00139999999999</v>
      </c>
      <c r="C3" s="3">
        <v>1</v>
      </c>
      <c r="D3" s="3"/>
      <c r="E3" s="3"/>
      <c r="F3" s="4" t="s">
        <v>10</v>
      </c>
      <c r="G3" s="4">
        <v>7446.9650000000001</v>
      </c>
      <c r="H3" s="4">
        <v>21</v>
      </c>
      <c r="I3" s="4">
        <v>7446.9454981277804</v>
      </c>
      <c r="J3" s="4">
        <v>592.88</v>
      </c>
      <c r="K3" s="4">
        <v>7.95395181732178</v>
      </c>
      <c r="L3" s="4">
        <v>5.4825824846119696E-4</v>
      </c>
      <c r="M3" s="4" t="s">
        <v>11</v>
      </c>
      <c r="N3" s="4">
        <v>2.7729668002587098</v>
      </c>
      <c r="O3" s="4">
        <v>21</v>
      </c>
    </row>
    <row r="4" spans="1:15" x14ac:dyDescent="0.2">
      <c r="A4" s="5" t="s">
        <v>17</v>
      </c>
      <c r="B4" s="3">
        <v>1177.0423000000001</v>
      </c>
      <c r="C4" s="3">
        <v>2</v>
      </c>
      <c r="D4" s="3"/>
      <c r="E4" s="3"/>
      <c r="F4" s="4" t="s">
        <v>10</v>
      </c>
      <c r="G4" s="4">
        <v>8121.0649000000003</v>
      </c>
      <c r="H4" s="4">
        <v>23</v>
      </c>
      <c r="I4" s="4">
        <v>8121.1015857060102</v>
      </c>
      <c r="J4" s="4">
        <v>919377.38</v>
      </c>
      <c r="K4" s="4">
        <v>10.4980249341011</v>
      </c>
      <c r="L4" s="4">
        <v>0.85018255301856105</v>
      </c>
      <c r="M4" s="4" t="s">
        <v>11</v>
      </c>
      <c r="N4" s="4">
        <v>5.9634938143348597</v>
      </c>
      <c r="O4" s="4">
        <v>23</v>
      </c>
    </row>
    <row r="5" spans="1:15" x14ac:dyDescent="0.2">
      <c r="A5" s="5" t="s">
        <v>14</v>
      </c>
      <c r="B5" s="3">
        <v>1483.0676000000001</v>
      </c>
      <c r="C5" s="3">
        <v>3</v>
      </c>
      <c r="D5" s="3"/>
      <c r="E5" s="3"/>
      <c r="F5" s="4" t="s">
        <v>14</v>
      </c>
      <c r="G5" s="4">
        <v>12706.703</v>
      </c>
      <c r="H5" s="4">
        <v>37</v>
      </c>
      <c r="I5" s="4">
        <v>12706.6167132847</v>
      </c>
      <c r="J5" s="4">
        <v>4945.1000000000004</v>
      </c>
      <c r="K5" s="4">
        <v>12.240774392652501</v>
      </c>
      <c r="L5" s="4">
        <v>4.5729184058586302E-3</v>
      </c>
      <c r="M5" s="4" t="s">
        <v>11</v>
      </c>
      <c r="N5" s="4">
        <v>3.6941750783414999</v>
      </c>
      <c r="O5" s="4">
        <v>37</v>
      </c>
    </row>
    <row r="6" spans="1:15" x14ac:dyDescent="0.2">
      <c r="A6" s="3" t="s">
        <v>10</v>
      </c>
      <c r="B6" s="3">
        <v>1812.1201000000001</v>
      </c>
      <c r="C6" s="3">
        <v>4</v>
      </c>
      <c r="D6" s="3"/>
      <c r="E6" s="3"/>
      <c r="F6" s="4" t="s">
        <v>10</v>
      </c>
      <c r="G6" s="4">
        <v>6096.7494999999999</v>
      </c>
      <c r="H6" s="4">
        <v>17</v>
      </c>
      <c r="I6" s="4">
        <v>6096.7376681353999</v>
      </c>
      <c r="J6" s="4">
        <v>5706.52</v>
      </c>
      <c r="K6" s="4">
        <v>8.3052026168187396</v>
      </c>
      <c r="L6" s="4">
        <v>5.2770318783038599E-3</v>
      </c>
      <c r="M6" s="4" t="s">
        <v>13</v>
      </c>
      <c r="N6" s="4">
        <v>3.7563713437039699</v>
      </c>
      <c r="O6" s="4">
        <v>17</v>
      </c>
    </row>
    <row r="7" spans="1:15" x14ac:dyDescent="0.2">
      <c r="A7" s="3" t="s">
        <v>10</v>
      </c>
      <c r="B7" s="3">
        <v>2141.1725999999999</v>
      </c>
      <c r="C7" s="3">
        <v>5</v>
      </c>
      <c r="D7" s="3"/>
      <c r="E7" s="3"/>
      <c r="F7" s="4" t="s">
        <v>10</v>
      </c>
      <c r="G7" s="4">
        <v>8103.0542999999998</v>
      </c>
      <c r="H7" s="4">
        <v>23</v>
      </c>
      <c r="I7" s="4">
        <v>8103.1036506842102</v>
      </c>
      <c r="J7" s="4">
        <v>65009.279999999999</v>
      </c>
      <c r="K7" s="4">
        <v>10.384334108797701</v>
      </c>
      <c r="L7" s="4">
        <v>6.0116505846922699E-2</v>
      </c>
      <c r="M7" s="4" t="s">
        <v>13</v>
      </c>
      <c r="N7" s="4">
        <v>4.8129753561062598</v>
      </c>
      <c r="O7" s="4">
        <v>23</v>
      </c>
    </row>
    <row r="8" spans="1:15" x14ac:dyDescent="0.2">
      <c r="A8" s="3" t="s">
        <v>10</v>
      </c>
      <c r="B8" s="3">
        <v>2470.2251000000001</v>
      </c>
      <c r="C8" s="3">
        <v>6</v>
      </c>
      <c r="D8" s="3"/>
      <c r="E8" s="3"/>
      <c r="F8" s="4" t="s">
        <v>10</v>
      </c>
      <c r="G8" s="4">
        <v>10415.384400000001</v>
      </c>
      <c r="H8" s="4">
        <v>30</v>
      </c>
      <c r="I8" s="4">
        <v>10415.3187079417</v>
      </c>
      <c r="J8" s="4">
        <v>3180.06</v>
      </c>
      <c r="K8" s="4">
        <v>11.342002017863599</v>
      </c>
      <c r="L8" s="4">
        <v>2.9407200877100202E-3</v>
      </c>
      <c r="M8" s="4" t="s">
        <v>13</v>
      </c>
      <c r="N8" s="4">
        <v>3.5024353141426401</v>
      </c>
      <c r="O8" s="4">
        <v>30</v>
      </c>
    </row>
    <row r="9" spans="1:15" x14ac:dyDescent="0.2">
      <c r="A9" s="3" t="s">
        <v>14</v>
      </c>
      <c r="B9" s="3">
        <v>2776.2503999999999</v>
      </c>
      <c r="C9" s="3">
        <v>7</v>
      </c>
      <c r="D9" s="3"/>
      <c r="E9" s="3"/>
    </row>
    <row r="10" spans="1:15" x14ac:dyDescent="0.2">
      <c r="A10" s="3" t="s">
        <v>10</v>
      </c>
      <c r="B10" s="3">
        <v>3105.3029000000001</v>
      </c>
      <c r="C10" s="3">
        <v>8</v>
      </c>
      <c r="D10" s="3"/>
      <c r="E10" s="3"/>
    </row>
    <row r="11" spans="1:15" x14ac:dyDescent="0.2">
      <c r="A11" s="3" t="s">
        <v>10</v>
      </c>
      <c r="B11" s="3">
        <v>3434.3553999999999</v>
      </c>
      <c r="C11" s="3">
        <v>9</v>
      </c>
      <c r="D11" s="3"/>
      <c r="E11" s="3"/>
      <c r="F11" s="6" t="s">
        <v>21</v>
      </c>
    </row>
    <row r="12" spans="1:15" x14ac:dyDescent="0.2">
      <c r="A12" s="3" t="s">
        <v>12</v>
      </c>
      <c r="B12" s="3">
        <v>3779.4027999999998</v>
      </c>
      <c r="C12" s="3">
        <v>10</v>
      </c>
      <c r="D12" s="3"/>
      <c r="E12" s="3"/>
      <c r="F12" s="6">
        <f>7/73*100</f>
        <v>9.5890410958904102</v>
      </c>
    </row>
    <row r="13" spans="1:15" x14ac:dyDescent="0.2">
      <c r="A13" s="3" t="s">
        <v>10</v>
      </c>
      <c r="B13" s="3">
        <v>4108.4552999999996</v>
      </c>
      <c r="C13" s="3">
        <v>11</v>
      </c>
      <c r="D13" s="3"/>
      <c r="E13" s="3"/>
    </row>
    <row r="14" spans="1:15" x14ac:dyDescent="0.2">
      <c r="A14" s="3" t="s">
        <v>12</v>
      </c>
      <c r="B14" s="3">
        <v>4453.5027</v>
      </c>
      <c r="C14" s="3">
        <v>12</v>
      </c>
      <c r="D14" s="3"/>
      <c r="E14" s="3"/>
    </row>
    <row r="15" spans="1:15" x14ac:dyDescent="0.2">
      <c r="A15" s="3" t="s">
        <v>10</v>
      </c>
      <c r="B15" s="3">
        <v>4782.5551999999998</v>
      </c>
      <c r="C15" s="3">
        <v>13</v>
      </c>
      <c r="D15" s="3"/>
      <c r="E15" s="3"/>
    </row>
    <row r="16" spans="1:15" x14ac:dyDescent="0.2">
      <c r="A16" s="3" t="s">
        <v>12</v>
      </c>
      <c r="B16" s="3">
        <v>5127.6026000000002</v>
      </c>
      <c r="C16" s="3">
        <v>14</v>
      </c>
      <c r="D16" s="3"/>
      <c r="E16" s="3"/>
    </row>
    <row r="17" spans="1:5" x14ac:dyDescent="0.2">
      <c r="A17" s="3" t="s">
        <v>10</v>
      </c>
      <c r="B17" s="3">
        <v>5456.6550999999999</v>
      </c>
      <c r="C17" s="3">
        <v>15</v>
      </c>
      <c r="D17" s="3"/>
      <c r="E17" s="3"/>
    </row>
    <row r="18" spans="1:5" x14ac:dyDescent="0.2">
      <c r="A18" s="3" t="s">
        <v>10</v>
      </c>
      <c r="B18" s="3">
        <v>5785.7075999999997</v>
      </c>
      <c r="C18" s="3">
        <v>16</v>
      </c>
      <c r="D18" s="3"/>
      <c r="E18" s="3"/>
    </row>
    <row r="19" spans="1:5" x14ac:dyDescent="0.2">
      <c r="A19" s="3" t="s">
        <v>10</v>
      </c>
      <c r="B19" s="3">
        <v>6114.7601000000004</v>
      </c>
      <c r="C19" s="3">
        <v>17</v>
      </c>
      <c r="D19" s="3"/>
      <c r="E19" s="3"/>
    </row>
    <row r="20" spans="1:5" x14ac:dyDescent="0.2">
      <c r="A20" s="3" t="s">
        <v>10</v>
      </c>
      <c r="B20" s="3">
        <v>6443.8126000000002</v>
      </c>
      <c r="C20" s="3">
        <v>18</v>
      </c>
      <c r="D20" s="3"/>
      <c r="E20" s="3"/>
    </row>
    <row r="21" spans="1:5" x14ac:dyDescent="0.2">
      <c r="A21" s="3" t="s">
        <v>12</v>
      </c>
      <c r="B21" s="3">
        <v>6788.86</v>
      </c>
      <c r="C21" s="3">
        <v>19</v>
      </c>
      <c r="D21" s="3"/>
      <c r="E21" s="3"/>
    </row>
    <row r="22" spans="1:5" x14ac:dyDescent="0.2">
      <c r="A22" s="3" t="s">
        <v>10</v>
      </c>
      <c r="B22" s="3">
        <v>7117.9125000000004</v>
      </c>
      <c r="C22" s="3">
        <v>20</v>
      </c>
      <c r="D22" s="3"/>
      <c r="E22" s="3"/>
    </row>
    <row r="23" spans="1:5" x14ac:dyDescent="0.2">
      <c r="A23" s="3" t="s">
        <v>10</v>
      </c>
      <c r="B23" s="3">
        <v>7446.9650000000001</v>
      </c>
      <c r="C23" s="3">
        <v>21</v>
      </c>
      <c r="D23" s="3"/>
      <c r="E23" s="3"/>
    </row>
    <row r="24" spans="1:5" x14ac:dyDescent="0.2">
      <c r="A24" s="3" t="s">
        <v>12</v>
      </c>
      <c r="B24" s="3">
        <v>7792.0123999999996</v>
      </c>
      <c r="C24" s="3">
        <v>22</v>
      </c>
      <c r="D24" s="3"/>
      <c r="E24" s="3"/>
    </row>
    <row r="25" spans="1:5" x14ac:dyDescent="0.2">
      <c r="A25" s="3" t="s">
        <v>10</v>
      </c>
      <c r="B25" s="3">
        <v>8121.0649000000003</v>
      </c>
      <c r="C25" s="3">
        <v>23</v>
      </c>
      <c r="D25" s="3"/>
      <c r="E25" s="3"/>
    </row>
    <row r="26" spans="1:5" x14ac:dyDescent="0.2">
      <c r="A26" s="3" t="s">
        <v>12</v>
      </c>
      <c r="B26" s="3">
        <v>8466.1123000000007</v>
      </c>
      <c r="C26" s="3">
        <v>24</v>
      </c>
      <c r="D26" s="3"/>
      <c r="E26" s="3"/>
    </row>
    <row r="27" spans="1:5" x14ac:dyDescent="0.2">
      <c r="A27" s="3" t="s">
        <v>14</v>
      </c>
      <c r="B27" s="3">
        <v>8772.1376</v>
      </c>
      <c r="C27" s="3">
        <v>25</v>
      </c>
      <c r="D27" s="3"/>
      <c r="E27" s="3"/>
    </row>
    <row r="28" spans="1:5" x14ac:dyDescent="0.2">
      <c r="A28" s="3" t="s">
        <v>10</v>
      </c>
      <c r="B28" s="3">
        <v>9101.1900999999998</v>
      </c>
      <c r="C28" s="3">
        <v>26</v>
      </c>
      <c r="D28" s="3"/>
      <c r="E28" s="3"/>
    </row>
    <row r="29" spans="1:5" x14ac:dyDescent="0.2">
      <c r="A29" s="3" t="s">
        <v>10</v>
      </c>
      <c r="B29" s="3">
        <v>9430.2425999999996</v>
      </c>
      <c r="C29" s="3">
        <v>27</v>
      </c>
      <c r="D29" s="3"/>
      <c r="E29" s="3"/>
    </row>
    <row r="30" spans="1:5" x14ac:dyDescent="0.2">
      <c r="A30" s="3" t="s">
        <v>12</v>
      </c>
      <c r="B30" s="3">
        <v>9775.2900000000009</v>
      </c>
      <c r="C30" s="3">
        <v>28</v>
      </c>
      <c r="D30" s="3"/>
      <c r="E30" s="3"/>
    </row>
    <row r="31" spans="1:5" x14ac:dyDescent="0.2">
      <c r="A31" s="3" t="s">
        <v>10</v>
      </c>
      <c r="B31" s="3">
        <v>10104.342500000001</v>
      </c>
      <c r="C31" s="3">
        <v>29</v>
      </c>
      <c r="D31" s="3"/>
      <c r="E31" s="3"/>
    </row>
    <row r="32" spans="1:5" x14ac:dyDescent="0.2">
      <c r="A32" s="3" t="s">
        <v>10</v>
      </c>
      <c r="B32" s="3">
        <v>10433.395</v>
      </c>
      <c r="C32" s="3">
        <v>30</v>
      </c>
      <c r="D32" s="3"/>
      <c r="E32" s="3"/>
    </row>
    <row r="33" spans="1:5" x14ac:dyDescent="0.2">
      <c r="A33" s="3" t="s">
        <v>12</v>
      </c>
      <c r="B33" s="3">
        <v>10778.4424</v>
      </c>
      <c r="C33" s="3">
        <v>31</v>
      </c>
      <c r="D33" s="3"/>
      <c r="E33" s="3"/>
    </row>
    <row r="34" spans="1:5" x14ac:dyDescent="0.2">
      <c r="A34" s="3" t="s">
        <v>10</v>
      </c>
      <c r="B34" s="3">
        <v>11107.4949</v>
      </c>
      <c r="C34" s="3">
        <v>32</v>
      </c>
      <c r="D34" s="3"/>
      <c r="E34" s="3"/>
    </row>
    <row r="35" spans="1:5" x14ac:dyDescent="0.2">
      <c r="A35" s="3" t="s">
        <v>10</v>
      </c>
      <c r="B35" s="3">
        <v>11436.547399999999</v>
      </c>
      <c r="C35" s="3">
        <v>33</v>
      </c>
      <c r="D35" s="3"/>
      <c r="E35" s="3"/>
    </row>
    <row r="36" spans="1:5" x14ac:dyDescent="0.2">
      <c r="A36" s="3" t="s">
        <v>10</v>
      </c>
      <c r="B36" s="3">
        <v>11765.599899999999</v>
      </c>
      <c r="C36" s="3">
        <v>34</v>
      </c>
      <c r="D36" s="3"/>
      <c r="E36" s="3"/>
    </row>
    <row r="37" spans="1:5" x14ac:dyDescent="0.2">
      <c r="A37" s="3" t="s">
        <v>14</v>
      </c>
      <c r="B37" s="3">
        <v>12071.6252</v>
      </c>
      <c r="C37" s="3">
        <v>35</v>
      </c>
      <c r="D37" s="3"/>
      <c r="E37" s="3"/>
    </row>
    <row r="38" spans="1:5" x14ac:dyDescent="0.2">
      <c r="A38" s="3" t="s">
        <v>10</v>
      </c>
      <c r="B38" s="3">
        <v>12400.6777</v>
      </c>
      <c r="C38" s="3">
        <v>36</v>
      </c>
      <c r="D38" s="3"/>
      <c r="E38" s="3"/>
    </row>
    <row r="39" spans="1:5" x14ac:dyDescent="0.2">
      <c r="A39" s="3" t="s">
        <v>14</v>
      </c>
      <c r="B39" s="3">
        <v>12706.703</v>
      </c>
      <c r="C39" s="3">
        <v>37</v>
      </c>
      <c r="D39" s="3"/>
      <c r="E39" s="3"/>
    </row>
    <row r="40" spans="1:5" x14ac:dyDescent="0.2">
      <c r="A40" s="3" t="s">
        <v>10</v>
      </c>
      <c r="B40" s="3">
        <v>13035.755499999999</v>
      </c>
      <c r="C40" s="3">
        <v>38</v>
      </c>
      <c r="D40" s="3"/>
      <c r="E40" s="3"/>
    </row>
    <row r="41" spans="1:5" x14ac:dyDescent="0.2">
      <c r="A41" s="3" t="s">
        <v>10</v>
      </c>
      <c r="B41" s="3">
        <v>13364.808000000001</v>
      </c>
      <c r="C41" s="3">
        <v>39</v>
      </c>
      <c r="D41" s="3"/>
      <c r="E41" s="3"/>
    </row>
    <row r="42" spans="1:5" x14ac:dyDescent="0.2">
      <c r="A42" s="3" t="s">
        <v>12</v>
      </c>
      <c r="B42" s="3">
        <v>13709.8554</v>
      </c>
      <c r="C42" s="3">
        <v>40</v>
      </c>
      <c r="D42" s="3"/>
      <c r="E42" s="3"/>
    </row>
    <row r="43" spans="1:5" x14ac:dyDescent="0.2">
      <c r="A43" s="3" t="s">
        <v>10</v>
      </c>
      <c r="B43" s="3">
        <v>14038.9079</v>
      </c>
      <c r="C43" s="3">
        <v>41</v>
      </c>
      <c r="D43" s="3"/>
      <c r="E43" s="3"/>
    </row>
    <row r="44" spans="1:5" x14ac:dyDescent="0.2">
      <c r="A44" s="3" t="s">
        <v>15</v>
      </c>
      <c r="B44" s="3">
        <v>14343.949199999999</v>
      </c>
      <c r="C44" s="3">
        <v>42</v>
      </c>
      <c r="D44" s="3"/>
      <c r="E44" s="3"/>
    </row>
    <row r="45" spans="1:5" x14ac:dyDescent="0.2">
      <c r="A45" s="3" t="s">
        <v>15</v>
      </c>
      <c r="B45" s="3">
        <v>14648.9905</v>
      </c>
      <c r="C45" s="3">
        <v>43</v>
      </c>
      <c r="D45" s="3"/>
      <c r="E45" s="3"/>
    </row>
    <row r="46" spans="1:5" x14ac:dyDescent="0.2">
      <c r="A46" s="3" t="s">
        <v>15</v>
      </c>
      <c r="B46" s="3">
        <v>14954.031800000001</v>
      </c>
      <c r="C46" s="3">
        <v>44</v>
      </c>
      <c r="D46" s="3"/>
      <c r="E46" s="3"/>
    </row>
    <row r="47" spans="1:5" x14ac:dyDescent="0.2">
      <c r="A47" s="3" t="s">
        <v>15</v>
      </c>
      <c r="B47" s="3">
        <v>15259.0731</v>
      </c>
      <c r="C47" s="3">
        <v>45</v>
      </c>
      <c r="D47" s="3"/>
      <c r="E47" s="3"/>
    </row>
    <row r="48" spans="1:5" x14ac:dyDescent="0.2">
      <c r="A48" s="3" t="s">
        <v>12</v>
      </c>
      <c r="B48" s="3">
        <v>15604.120500000001</v>
      </c>
      <c r="C48" s="3">
        <v>46</v>
      </c>
      <c r="D48" s="3"/>
      <c r="E48" s="3"/>
    </row>
    <row r="49" spans="1:5" x14ac:dyDescent="0.2">
      <c r="A49" s="3" t="s">
        <v>12</v>
      </c>
      <c r="B49" s="3">
        <v>15949.1679</v>
      </c>
      <c r="C49" s="3">
        <v>47</v>
      </c>
      <c r="D49" s="3"/>
      <c r="E49" s="3"/>
    </row>
    <row r="50" spans="1:5" x14ac:dyDescent="0.2">
      <c r="A50" s="3" t="s">
        <v>15</v>
      </c>
      <c r="B50" s="3">
        <v>16254.209199999999</v>
      </c>
      <c r="C50" s="3">
        <v>48</v>
      </c>
      <c r="D50" s="3"/>
      <c r="E50" s="3"/>
    </row>
    <row r="51" spans="1:5" x14ac:dyDescent="0.2">
      <c r="A51" s="3" t="s">
        <v>12</v>
      </c>
      <c r="B51" s="3">
        <v>16599.256600000001</v>
      </c>
      <c r="C51" s="3">
        <v>49</v>
      </c>
      <c r="D51" s="3"/>
      <c r="E51" s="3"/>
    </row>
    <row r="52" spans="1:5" x14ac:dyDescent="0.2">
      <c r="A52" s="3" t="s">
        <v>15</v>
      </c>
      <c r="B52" s="3">
        <v>16904.297900000001</v>
      </c>
      <c r="C52" s="3">
        <v>50</v>
      </c>
      <c r="D52" s="3"/>
      <c r="E52" s="3"/>
    </row>
    <row r="53" spans="1:5" x14ac:dyDescent="0.2">
      <c r="A53" s="3" t="s">
        <v>15</v>
      </c>
      <c r="B53" s="3">
        <v>17209.339199999999</v>
      </c>
      <c r="C53" s="3">
        <v>51</v>
      </c>
      <c r="D53" s="3"/>
      <c r="E53" s="3"/>
    </row>
    <row r="54" spans="1:5" x14ac:dyDescent="0.2">
      <c r="A54" s="3" t="s">
        <v>12</v>
      </c>
      <c r="B54" s="3">
        <v>17554.386600000002</v>
      </c>
      <c r="C54" s="3">
        <v>52</v>
      </c>
      <c r="D54" s="3"/>
      <c r="E54" s="3"/>
    </row>
    <row r="55" spans="1:5" x14ac:dyDescent="0.2">
      <c r="A55" s="3" t="s">
        <v>15</v>
      </c>
      <c r="B55" s="3">
        <v>17859.427899999999</v>
      </c>
      <c r="C55" s="3">
        <v>53</v>
      </c>
      <c r="D55" s="3"/>
      <c r="E55" s="3"/>
    </row>
    <row r="56" spans="1:5" x14ac:dyDescent="0.2">
      <c r="A56" s="3" t="s">
        <v>15</v>
      </c>
      <c r="B56" s="3">
        <v>18164.4692</v>
      </c>
      <c r="C56" s="3">
        <v>54</v>
      </c>
      <c r="D56" s="3"/>
      <c r="E56" s="3"/>
    </row>
    <row r="57" spans="1:5" x14ac:dyDescent="0.2">
      <c r="A57" s="3" t="s">
        <v>10</v>
      </c>
      <c r="B57" s="3">
        <v>18493.521700000001</v>
      </c>
      <c r="C57" s="3">
        <v>55</v>
      </c>
      <c r="D57" s="3"/>
      <c r="E57" s="3"/>
    </row>
    <row r="58" spans="1:5" x14ac:dyDescent="0.2">
      <c r="A58" s="3" t="s">
        <v>15</v>
      </c>
      <c r="B58" s="3">
        <v>18798.562999999998</v>
      </c>
      <c r="C58" s="3">
        <v>56</v>
      </c>
      <c r="D58" s="3"/>
      <c r="E58" s="3"/>
    </row>
    <row r="59" spans="1:5" x14ac:dyDescent="0.2">
      <c r="A59" s="3" t="s">
        <v>15</v>
      </c>
      <c r="B59" s="3">
        <v>19103.604299999999</v>
      </c>
      <c r="C59" s="3">
        <v>57</v>
      </c>
      <c r="D59" s="3"/>
      <c r="E59" s="3"/>
    </row>
    <row r="60" spans="1:5" x14ac:dyDescent="0.2">
      <c r="A60" s="3" t="s">
        <v>10</v>
      </c>
      <c r="B60" s="3">
        <v>19432.656800000001</v>
      </c>
      <c r="C60" s="3">
        <v>58</v>
      </c>
      <c r="D60" s="3"/>
      <c r="E60" s="3"/>
    </row>
    <row r="61" spans="1:5" x14ac:dyDescent="0.2">
      <c r="A61" s="3" t="s">
        <v>14</v>
      </c>
      <c r="B61" s="3">
        <v>19738.682100000002</v>
      </c>
      <c r="C61" s="3">
        <v>59</v>
      </c>
      <c r="D61" s="3"/>
      <c r="E61" s="3"/>
    </row>
    <row r="62" spans="1:5" x14ac:dyDescent="0.2">
      <c r="A62" s="3" t="s">
        <v>12</v>
      </c>
      <c r="B62" s="3">
        <v>20083.729500000001</v>
      </c>
      <c r="C62" s="3">
        <v>60</v>
      </c>
      <c r="D62" s="3"/>
      <c r="E62" s="3"/>
    </row>
    <row r="63" spans="1:5" x14ac:dyDescent="0.2">
      <c r="A63" s="3" t="s">
        <v>12</v>
      </c>
      <c r="B63" s="3">
        <v>20428.776900000001</v>
      </c>
      <c r="C63" s="3">
        <v>61</v>
      </c>
      <c r="D63" s="3"/>
      <c r="E63" s="3"/>
    </row>
    <row r="64" spans="1:5" x14ac:dyDescent="0.2">
      <c r="A64" s="3" t="s">
        <v>10</v>
      </c>
      <c r="B64" s="3">
        <v>20757.829399999999</v>
      </c>
      <c r="C64" s="3">
        <v>62</v>
      </c>
      <c r="D64" s="3"/>
      <c r="E64" s="3"/>
    </row>
    <row r="65" spans="1:5" x14ac:dyDescent="0.2">
      <c r="A65" s="3" t="s">
        <v>10</v>
      </c>
      <c r="B65" s="3">
        <v>21086.8819</v>
      </c>
      <c r="C65" s="3">
        <v>63</v>
      </c>
      <c r="D65" s="3"/>
      <c r="E65" s="3"/>
    </row>
    <row r="66" spans="1:5" x14ac:dyDescent="0.2">
      <c r="A66" s="3" t="s">
        <v>12</v>
      </c>
      <c r="B66" s="3">
        <v>21431.9293</v>
      </c>
      <c r="C66" s="3">
        <v>64</v>
      </c>
      <c r="D66" s="3"/>
      <c r="E66" s="3"/>
    </row>
    <row r="67" spans="1:5" x14ac:dyDescent="0.2">
      <c r="A67" s="3" t="s">
        <v>10</v>
      </c>
      <c r="B67" s="3">
        <v>21760.981800000001</v>
      </c>
      <c r="C67" s="3">
        <v>65</v>
      </c>
      <c r="D67" s="3"/>
      <c r="E67" s="3"/>
    </row>
    <row r="68" spans="1:5" x14ac:dyDescent="0.2">
      <c r="A68" s="3" t="s">
        <v>15</v>
      </c>
      <c r="B68" s="3">
        <v>22066.023099999999</v>
      </c>
      <c r="C68" s="3">
        <v>66</v>
      </c>
      <c r="D68" s="3"/>
      <c r="E68" s="3"/>
    </row>
    <row r="69" spans="1:5" x14ac:dyDescent="0.2">
      <c r="A69" s="3" t="s">
        <v>12</v>
      </c>
      <c r="B69" s="3">
        <v>22411.070500000002</v>
      </c>
      <c r="C69" s="3">
        <v>67</v>
      </c>
      <c r="D69" s="3"/>
      <c r="E69" s="3"/>
    </row>
    <row r="70" spans="1:5" x14ac:dyDescent="0.2">
      <c r="A70" s="3" t="s">
        <v>15</v>
      </c>
      <c r="B70" s="3">
        <v>22716.111799999999</v>
      </c>
      <c r="C70" s="3">
        <v>68</v>
      </c>
      <c r="D70" s="3"/>
      <c r="E70" s="3"/>
    </row>
    <row r="71" spans="1:5" x14ac:dyDescent="0.2">
      <c r="A71" s="3" t="s">
        <v>15</v>
      </c>
      <c r="B71" s="3">
        <v>23021.1531</v>
      </c>
      <c r="C71" s="3">
        <v>69</v>
      </c>
      <c r="D71" s="3"/>
      <c r="E71" s="3"/>
    </row>
    <row r="72" spans="1:5" x14ac:dyDescent="0.2">
      <c r="A72" s="3" t="s">
        <v>10</v>
      </c>
      <c r="B72" s="3">
        <v>23350.205600000001</v>
      </c>
      <c r="C72" s="3">
        <v>70</v>
      </c>
      <c r="D72" s="3"/>
      <c r="E72" s="3"/>
    </row>
    <row r="73" spans="1:5" x14ac:dyDescent="0.2">
      <c r="A73" s="3" t="s">
        <v>10</v>
      </c>
      <c r="B73" s="3">
        <v>23679.258099999999</v>
      </c>
      <c r="C73" s="3">
        <v>71</v>
      </c>
      <c r="D73" s="3"/>
      <c r="E73" s="3"/>
    </row>
    <row r="74" spans="1:5" x14ac:dyDescent="0.2">
      <c r="A74" s="3" t="s">
        <v>10</v>
      </c>
      <c r="B74" s="3">
        <v>24008.310600000001</v>
      </c>
      <c r="C74" s="3">
        <v>72</v>
      </c>
      <c r="D74" s="3"/>
      <c r="E74" s="3"/>
    </row>
    <row r="75" spans="1:5" x14ac:dyDescent="0.2">
      <c r="A75" s="3" t="s">
        <v>10</v>
      </c>
      <c r="B75" s="3">
        <v>24337.363099999999</v>
      </c>
      <c r="C75" s="3">
        <v>73</v>
      </c>
      <c r="D75" s="3"/>
      <c r="E7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cap-aaA</vt:lpstr>
      <vt:lpstr>cap-ccC</vt:lpstr>
      <vt:lpstr>cap-ggG</vt:lpstr>
      <vt:lpstr>cap-uuU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Chloe He</dc:creator>
  <cp:lastModifiedBy>Chloe He</cp:lastModifiedBy>
  <dcterms:created xsi:type="dcterms:W3CDTF">2025-11-05T20:20:21Z</dcterms:created>
  <dcterms:modified xsi:type="dcterms:W3CDTF">2025-11-05T20:53:40Z</dcterms:modified>
</cp:coreProperties>
</file>